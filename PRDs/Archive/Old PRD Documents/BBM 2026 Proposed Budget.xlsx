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8d9c314b329c5f/1-BBM/Finance/2026/"/>
    </mc:Choice>
  </mc:AlternateContent>
  <xr:revisionPtr revIDLastSave="33" documentId="8_{2C32CD42-1477-4DD4-BB9F-937DF4AD2BBA}" xr6:coauthVersionLast="47" xr6:coauthVersionMax="47" xr10:uidLastSave="{8DF7848F-D3D5-4BE7-8F3B-114FED8673F0}"/>
  <bookViews>
    <workbookView xWindow="-120" yWindow="-120" windowWidth="20730" windowHeight="11040" firstSheet="3" activeTab="3" xr2:uid="{536944AD-11D6-43F3-8F10-E92465C9AF30}"/>
  </bookViews>
  <sheets>
    <sheet name="Notes for Use" sheetId="2" state="hidden" r:id="rId1"/>
    <sheet name="Video Instructions" sheetId="5" state="hidden" r:id="rId2"/>
    <sheet name="Cash Rhythms" sheetId="7" state="hidden" r:id="rId3"/>
    <sheet name="Cash Flow Forecast " sheetId="6" r:id="rId4"/>
    <sheet name="Sheet1" sheetId="11" r:id="rId5"/>
    <sheet name="Marketing" sheetId="10" state="hidden" r:id="rId6"/>
    <sheet name="IT" sheetId="9" state="hidden" r:id="rId7"/>
    <sheet name="2025 Donors" sheetId="8" r:id="rId8"/>
    <sheet name="Cash Flow Forecast - Personal" sheetId="4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6" l="1"/>
  <c r="G48" i="6"/>
  <c r="H48" i="6"/>
  <c r="I48" i="6"/>
  <c r="J48" i="6"/>
  <c r="K48" i="6"/>
  <c r="L48" i="6"/>
  <c r="M48" i="6"/>
  <c r="N48" i="6"/>
  <c r="O48" i="6"/>
  <c r="E48" i="6"/>
  <c r="D48" i="6"/>
  <c r="F10" i="6" l="1"/>
  <c r="G10" i="6" s="1"/>
  <c r="H10" i="6" s="1"/>
  <c r="I10" i="6" s="1"/>
  <c r="J10" i="6" s="1"/>
  <c r="K10" i="6" s="1"/>
  <c r="L10" i="6" s="1"/>
  <c r="M10" i="6" s="1"/>
  <c r="N10" i="6" s="1"/>
  <c r="O10" i="6" s="1"/>
  <c r="E38" i="6"/>
  <c r="F20" i="6"/>
  <c r="D49" i="6"/>
  <c r="D36" i="6"/>
  <c r="P36" i="6" s="1"/>
  <c r="P21" i="6"/>
  <c r="E22" i="6"/>
  <c r="D22" i="6"/>
  <c r="G19" i="6"/>
  <c r="P28" i="6"/>
  <c r="F37" i="6"/>
  <c r="G35" i="6"/>
  <c r="F34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F30" i="6"/>
  <c r="G30" i="6" s="1"/>
  <c r="P29" i="6"/>
  <c r="F27" i="6"/>
  <c r="P26" i="6"/>
  <c r="E25" i="6"/>
  <c r="E31" i="6" s="1"/>
  <c r="F25" i="6"/>
  <c r="G25" i="6"/>
  <c r="H25" i="6"/>
  <c r="I25" i="6"/>
  <c r="J25" i="6"/>
  <c r="K25" i="6"/>
  <c r="L25" i="6"/>
  <c r="M25" i="6"/>
  <c r="N25" i="6"/>
  <c r="O25" i="6"/>
  <c r="D25" i="6"/>
  <c r="D31" i="6" s="1"/>
  <c r="C5" i="9"/>
  <c r="B5" i="9"/>
  <c r="P48" i="6" l="1"/>
  <c r="G20" i="6"/>
  <c r="H20" i="6" s="1"/>
  <c r="I20" i="6" s="1"/>
  <c r="J20" i="6" s="1"/>
  <c r="K20" i="6" s="1"/>
  <c r="L20" i="6" s="1"/>
  <c r="M20" i="6" s="1"/>
  <c r="N20" i="6" s="1"/>
  <c r="O20" i="6" s="1"/>
  <c r="F22" i="6"/>
  <c r="D38" i="6"/>
  <c r="D53" i="6" s="1"/>
  <c r="H19" i="6"/>
  <c r="F38" i="6"/>
  <c r="H35" i="6"/>
  <c r="I35" i="6" s="1"/>
  <c r="J35" i="6" s="1"/>
  <c r="K35" i="6" s="1"/>
  <c r="L35" i="6" s="1"/>
  <c r="M35" i="6" s="1"/>
  <c r="N35" i="6" s="1"/>
  <c r="O35" i="6" s="1"/>
  <c r="G37" i="6"/>
  <c r="H37" i="6" s="1"/>
  <c r="I37" i="6" s="1"/>
  <c r="J37" i="6" s="1"/>
  <c r="K37" i="6" s="1"/>
  <c r="L37" i="6" s="1"/>
  <c r="M37" i="6" s="1"/>
  <c r="N37" i="6" s="1"/>
  <c r="O37" i="6" s="1"/>
  <c r="G34" i="6"/>
  <c r="F31" i="6"/>
  <c r="H30" i="6"/>
  <c r="I30" i="6" s="1"/>
  <c r="J30" i="6" s="1"/>
  <c r="K30" i="6" s="1"/>
  <c r="L30" i="6" s="1"/>
  <c r="M30" i="6" s="1"/>
  <c r="N30" i="6" s="1"/>
  <c r="O30" i="6" s="1"/>
  <c r="G27" i="6"/>
  <c r="H27" i="6" s="1"/>
  <c r="I27" i="6" s="1"/>
  <c r="J27" i="6" s="1"/>
  <c r="P25" i="6"/>
  <c r="B7" i="9"/>
  <c r="N6" i="9"/>
  <c r="F6" i="9"/>
  <c r="G6" i="9" s="1"/>
  <c r="H6" i="9" s="1"/>
  <c r="I6" i="9" s="1"/>
  <c r="J6" i="9" s="1"/>
  <c r="K6" i="9" s="1"/>
  <c r="L6" i="9" s="1"/>
  <c r="M6" i="9" s="1"/>
  <c r="E6" i="9"/>
  <c r="N4" i="9"/>
  <c r="C7" i="9"/>
  <c r="D4" i="9"/>
  <c r="E4" i="9" s="1"/>
  <c r="F4" i="9" s="1"/>
  <c r="G4" i="9" s="1"/>
  <c r="H4" i="9" s="1"/>
  <c r="I4" i="9" s="1"/>
  <c r="J4" i="9" s="1"/>
  <c r="K4" i="9" s="1"/>
  <c r="L4" i="9" s="1"/>
  <c r="M4" i="9" s="1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E5" i="6"/>
  <c r="G22" i="6" l="1"/>
  <c r="P20" i="6"/>
  <c r="P35" i="6"/>
  <c r="I19" i="6"/>
  <c r="H22" i="6"/>
  <c r="H34" i="6"/>
  <c r="G38" i="6"/>
  <c r="P37" i="6"/>
  <c r="K27" i="6"/>
  <c r="J31" i="6"/>
  <c r="I31" i="6"/>
  <c r="G31" i="6"/>
  <c r="H31" i="6"/>
  <c r="P30" i="6"/>
  <c r="F41" i="6"/>
  <c r="E51" i="6"/>
  <c r="F51" i="6" s="1"/>
  <c r="G51" i="6" s="1"/>
  <c r="S5" i="6"/>
  <c r="P47" i="6"/>
  <c r="P50" i="6"/>
  <c r="E45" i="6"/>
  <c r="F44" i="6"/>
  <c r="G44" i="6" s="1"/>
  <c r="P73" i="6"/>
  <c r="P71" i="6"/>
  <c r="P69" i="6"/>
  <c r="P68" i="6"/>
  <c r="P67" i="6"/>
  <c r="P66" i="6"/>
  <c r="P65" i="6"/>
  <c r="P63" i="6"/>
  <c r="P62" i="6"/>
  <c r="P61" i="6"/>
  <c r="P60" i="6"/>
  <c r="P59" i="6"/>
  <c r="P58" i="6"/>
  <c r="P57" i="6"/>
  <c r="P56" i="6"/>
  <c r="P54" i="6"/>
  <c r="P46" i="6"/>
  <c r="P42" i="6"/>
  <c r="P10" i="6"/>
  <c r="P11" i="6"/>
  <c r="P12" i="6"/>
  <c r="P13" i="6"/>
  <c r="E14" i="6"/>
  <c r="F14" i="6"/>
  <c r="G14" i="6"/>
  <c r="H14" i="6"/>
  <c r="I14" i="6"/>
  <c r="J14" i="6"/>
  <c r="K14" i="6"/>
  <c r="R14" i="6"/>
  <c r="R5" i="6"/>
  <c r="G41" i="4"/>
  <c r="G21" i="4"/>
  <c r="D21" i="4"/>
  <c r="F45" i="6" l="1"/>
  <c r="G45" i="6" s="1"/>
  <c r="H45" i="6" s="1"/>
  <c r="I45" i="6" s="1"/>
  <c r="J45" i="6" s="1"/>
  <c r="K45" i="6" s="1"/>
  <c r="L45" i="6" s="1"/>
  <c r="M45" i="6" s="1"/>
  <c r="N45" i="6" s="1"/>
  <c r="O45" i="6" s="1"/>
  <c r="E49" i="6"/>
  <c r="E53" i="6" s="1"/>
  <c r="E55" i="6" s="1"/>
  <c r="G41" i="6"/>
  <c r="J19" i="6"/>
  <c r="I22" i="6"/>
  <c r="I34" i="6"/>
  <c r="H38" i="6"/>
  <c r="L27" i="6"/>
  <c r="K31" i="6"/>
  <c r="D7" i="9"/>
  <c r="E5" i="9"/>
  <c r="J43" i="6"/>
  <c r="K43" i="6" s="1"/>
  <c r="L43" i="6" s="1"/>
  <c r="M43" i="6" s="1"/>
  <c r="N43" i="6" s="1"/>
  <c r="O43" i="6" s="1"/>
  <c r="R43" i="6" s="1"/>
  <c r="R53" i="6" s="1"/>
  <c r="R55" i="6" s="1"/>
  <c r="H51" i="6"/>
  <c r="I51" i="6" s="1"/>
  <c r="J51" i="6" s="1"/>
  <c r="K51" i="6" s="1"/>
  <c r="L51" i="6" s="1"/>
  <c r="M51" i="6" s="1"/>
  <c r="N51" i="6" s="1"/>
  <c r="O51" i="6" s="1"/>
  <c r="L14" i="6"/>
  <c r="H44" i="6"/>
  <c r="I44" i="6" s="1"/>
  <c r="J44" i="6" s="1"/>
  <c r="K44" i="6" s="1"/>
  <c r="L44" i="6" s="1"/>
  <c r="M44" i="6" s="1"/>
  <c r="N44" i="6" s="1"/>
  <c r="O44" i="6" s="1"/>
  <c r="M14" i="6"/>
  <c r="F5" i="6"/>
  <c r="L21" i="4"/>
  <c r="AA55" i="4"/>
  <c r="Z55" i="4"/>
  <c r="Y55" i="4"/>
  <c r="X55" i="4"/>
  <c r="W55" i="4"/>
  <c r="V55" i="4"/>
  <c r="U55" i="4"/>
  <c r="T55" i="4"/>
  <c r="S55" i="4"/>
  <c r="R55" i="4"/>
  <c r="Q55" i="4"/>
  <c r="P55" i="4"/>
  <c r="AA49" i="4"/>
  <c r="Z49" i="4"/>
  <c r="Y49" i="4"/>
  <c r="X49" i="4"/>
  <c r="W49" i="4"/>
  <c r="V49" i="4"/>
  <c r="U49" i="4"/>
  <c r="T49" i="4"/>
  <c r="S49" i="4"/>
  <c r="R49" i="4"/>
  <c r="Q49" i="4"/>
  <c r="P49" i="4"/>
  <c r="AA41" i="4"/>
  <c r="Z41" i="4"/>
  <c r="Y41" i="4"/>
  <c r="X41" i="4"/>
  <c r="W41" i="4"/>
  <c r="V41" i="4"/>
  <c r="U41" i="4"/>
  <c r="T41" i="4"/>
  <c r="S41" i="4"/>
  <c r="R41" i="4"/>
  <c r="Q41" i="4"/>
  <c r="P41" i="4"/>
  <c r="AA21" i="4"/>
  <c r="Z21" i="4"/>
  <c r="Y21" i="4"/>
  <c r="X21" i="4"/>
  <c r="W21" i="4"/>
  <c r="V21" i="4"/>
  <c r="U21" i="4"/>
  <c r="U57" i="4" s="1"/>
  <c r="T21" i="4"/>
  <c r="S21" i="4"/>
  <c r="R21" i="4"/>
  <c r="Q21" i="4"/>
  <c r="Q57" i="4" s="1"/>
  <c r="P21" i="4"/>
  <c r="D64" i="6"/>
  <c r="AC70" i="6"/>
  <c r="AB70" i="6"/>
  <c r="AA70" i="6"/>
  <c r="Z70" i="6"/>
  <c r="Y70" i="6"/>
  <c r="X70" i="6"/>
  <c r="W70" i="6"/>
  <c r="V70" i="6"/>
  <c r="U70" i="6"/>
  <c r="T70" i="6"/>
  <c r="S70" i="6"/>
  <c r="R70" i="6"/>
  <c r="O70" i="6"/>
  <c r="N70" i="6"/>
  <c r="M70" i="6"/>
  <c r="L70" i="6"/>
  <c r="K70" i="6"/>
  <c r="J70" i="6"/>
  <c r="I70" i="6"/>
  <c r="H70" i="6"/>
  <c r="G70" i="6"/>
  <c r="F70" i="6"/>
  <c r="E70" i="6"/>
  <c r="D70" i="6"/>
  <c r="AC64" i="6"/>
  <c r="AB64" i="6"/>
  <c r="AA64" i="6"/>
  <c r="Z64" i="6"/>
  <c r="Y64" i="6"/>
  <c r="X64" i="6"/>
  <c r="W64" i="6"/>
  <c r="V64" i="6"/>
  <c r="U64" i="6"/>
  <c r="T64" i="6"/>
  <c r="S64" i="6"/>
  <c r="R64" i="6"/>
  <c r="O64" i="6"/>
  <c r="N64" i="6"/>
  <c r="M64" i="6"/>
  <c r="L64" i="6"/>
  <c r="K64" i="6"/>
  <c r="J64" i="6"/>
  <c r="I64" i="6"/>
  <c r="H64" i="6"/>
  <c r="G64" i="6"/>
  <c r="F64" i="6"/>
  <c r="E64" i="6"/>
  <c r="AC53" i="6"/>
  <c r="AB53" i="6"/>
  <c r="AA53" i="6"/>
  <c r="Z53" i="6"/>
  <c r="Y53" i="6"/>
  <c r="X53" i="6"/>
  <c r="W53" i="6"/>
  <c r="V53" i="6"/>
  <c r="U53" i="6"/>
  <c r="T53" i="6"/>
  <c r="S53" i="6"/>
  <c r="AC14" i="6"/>
  <c r="AB14" i="6"/>
  <c r="AA14" i="6"/>
  <c r="Z14" i="6"/>
  <c r="Y14" i="6"/>
  <c r="X14" i="6"/>
  <c r="W14" i="6"/>
  <c r="V14" i="6"/>
  <c r="U14" i="6"/>
  <c r="T14" i="6"/>
  <c r="S14" i="6"/>
  <c r="D41" i="4"/>
  <c r="E41" i="4"/>
  <c r="F41" i="4"/>
  <c r="H41" i="4"/>
  <c r="I41" i="4"/>
  <c r="J41" i="4"/>
  <c r="K41" i="4"/>
  <c r="L41" i="4"/>
  <c r="M41" i="4"/>
  <c r="N41" i="4"/>
  <c r="O41" i="4"/>
  <c r="E21" i="4"/>
  <c r="F21" i="4"/>
  <c r="H21" i="4"/>
  <c r="I21" i="4"/>
  <c r="J21" i="4"/>
  <c r="K21" i="4"/>
  <c r="M21" i="4"/>
  <c r="N21" i="4"/>
  <c r="O21" i="4"/>
  <c r="O55" i="4"/>
  <c r="N55" i="4"/>
  <c r="M55" i="4"/>
  <c r="L55" i="4"/>
  <c r="K55" i="4"/>
  <c r="J55" i="4"/>
  <c r="I55" i="4"/>
  <c r="H55" i="4"/>
  <c r="G55" i="4"/>
  <c r="F55" i="4"/>
  <c r="E55" i="4"/>
  <c r="D55" i="4"/>
  <c r="O49" i="4"/>
  <c r="N49" i="4"/>
  <c r="M49" i="4"/>
  <c r="L49" i="4"/>
  <c r="K49" i="4"/>
  <c r="J49" i="4"/>
  <c r="I49" i="4"/>
  <c r="H49" i="4"/>
  <c r="G49" i="4"/>
  <c r="F49" i="4"/>
  <c r="E49" i="4"/>
  <c r="D49" i="4"/>
  <c r="F49" i="6" l="1"/>
  <c r="F53" i="6" s="1"/>
  <c r="F72" i="6" s="1"/>
  <c r="H41" i="6"/>
  <c r="G49" i="6"/>
  <c r="G53" i="6" s="1"/>
  <c r="G55" i="6" s="1"/>
  <c r="K19" i="6"/>
  <c r="J22" i="6"/>
  <c r="J34" i="6"/>
  <c r="I38" i="6"/>
  <c r="M27" i="6"/>
  <c r="L31" i="6"/>
  <c r="P9" i="6"/>
  <c r="D14" i="6"/>
  <c r="D72" i="6" s="1"/>
  <c r="F5" i="9"/>
  <c r="E7" i="9"/>
  <c r="P51" i="6"/>
  <c r="P43" i="6"/>
  <c r="Y78" i="6"/>
  <c r="P44" i="6"/>
  <c r="P45" i="6"/>
  <c r="P70" i="6"/>
  <c r="P64" i="6"/>
  <c r="O14" i="6"/>
  <c r="N14" i="6"/>
  <c r="X78" i="6"/>
  <c r="G5" i="6"/>
  <c r="T5" i="6"/>
  <c r="D57" i="4"/>
  <c r="D59" i="4" s="1"/>
  <c r="E11" i="4" s="1"/>
  <c r="J57" i="4"/>
  <c r="R57" i="4"/>
  <c r="S57" i="4"/>
  <c r="P57" i="4"/>
  <c r="T57" i="4"/>
  <c r="V57" i="4"/>
  <c r="W57" i="4"/>
  <c r="X57" i="4"/>
  <c r="Y57" i="4"/>
  <c r="Z57" i="4"/>
  <c r="AA57" i="4"/>
  <c r="L57" i="4"/>
  <c r="K57" i="4"/>
  <c r="R72" i="6"/>
  <c r="W72" i="6"/>
  <c r="AB72" i="6"/>
  <c r="AC72" i="6"/>
  <c r="Y72" i="6"/>
  <c r="S72" i="6"/>
  <c r="T72" i="6"/>
  <c r="V72" i="6"/>
  <c r="X72" i="6"/>
  <c r="U72" i="6"/>
  <c r="Z72" i="6"/>
  <c r="E72" i="6"/>
  <c r="Z78" i="6"/>
  <c r="V78" i="6"/>
  <c r="U78" i="6"/>
  <c r="T78" i="6"/>
  <c r="S78" i="6"/>
  <c r="R78" i="6"/>
  <c r="AA72" i="6"/>
  <c r="AC78" i="6"/>
  <c r="W78" i="6"/>
  <c r="AB78" i="6"/>
  <c r="AA78" i="6"/>
  <c r="F57" i="4"/>
  <c r="I57" i="4"/>
  <c r="H57" i="4"/>
  <c r="G57" i="4"/>
  <c r="O57" i="4"/>
  <c r="M57" i="4"/>
  <c r="E57" i="4"/>
  <c r="N57" i="4"/>
  <c r="F55" i="6" l="1"/>
  <c r="H49" i="6"/>
  <c r="H53" i="6" s="1"/>
  <c r="H55" i="6" s="1"/>
  <c r="I41" i="6"/>
  <c r="L19" i="6"/>
  <c r="K22" i="6"/>
  <c r="K34" i="6"/>
  <c r="J38" i="6"/>
  <c r="N27" i="6"/>
  <c r="M31" i="6"/>
  <c r="D55" i="6"/>
  <c r="G5" i="9"/>
  <c r="F7" i="9"/>
  <c r="G72" i="6"/>
  <c r="P14" i="6"/>
  <c r="U5" i="6"/>
  <c r="H5" i="6"/>
  <c r="D74" i="6"/>
  <c r="H72" i="6" l="1"/>
  <c r="J41" i="6"/>
  <c r="I49" i="6"/>
  <c r="I53" i="6" s="1"/>
  <c r="M19" i="6"/>
  <c r="L22" i="6"/>
  <c r="L34" i="6"/>
  <c r="K38" i="6"/>
  <c r="O27" i="6"/>
  <c r="O31" i="6" s="1"/>
  <c r="N31" i="6"/>
  <c r="H5" i="9"/>
  <c r="G7" i="9"/>
  <c r="E6" i="6"/>
  <c r="E74" i="6" s="1"/>
  <c r="F6" i="6" s="1"/>
  <c r="F74" i="6" s="1"/>
  <c r="G6" i="6" s="1"/>
  <c r="G74" i="6" s="1"/>
  <c r="H6" i="6" s="1"/>
  <c r="I5" i="6"/>
  <c r="V5" i="6"/>
  <c r="E59" i="4"/>
  <c r="H74" i="6" l="1"/>
  <c r="I6" i="6" s="1"/>
  <c r="I72" i="6"/>
  <c r="I55" i="6"/>
  <c r="K41" i="6"/>
  <c r="J49" i="6"/>
  <c r="J53" i="6" s="1"/>
  <c r="N19" i="6"/>
  <c r="M22" i="6"/>
  <c r="M34" i="6"/>
  <c r="L38" i="6"/>
  <c r="P27" i="6"/>
  <c r="P31" i="6" s="1"/>
  <c r="I5" i="9"/>
  <c r="H7" i="9"/>
  <c r="J5" i="6"/>
  <c r="K5" i="6" s="1"/>
  <c r="W5" i="6"/>
  <c r="F11" i="4"/>
  <c r="F59" i="4" s="1"/>
  <c r="J55" i="6" l="1"/>
  <c r="J72" i="6"/>
  <c r="L41" i="6"/>
  <c r="K49" i="6"/>
  <c r="K53" i="6" s="1"/>
  <c r="I74" i="6"/>
  <c r="J6" i="6" s="1"/>
  <c r="O19" i="6"/>
  <c r="O22" i="6" s="1"/>
  <c r="N22" i="6"/>
  <c r="P19" i="6"/>
  <c r="P22" i="6" s="1"/>
  <c r="N34" i="6"/>
  <c r="M38" i="6"/>
  <c r="J5" i="9"/>
  <c r="I7" i="9"/>
  <c r="X5" i="6"/>
  <c r="G11" i="4"/>
  <c r="G59" i="4" s="1"/>
  <c r="K72" i="6" l="1"/>
  <c r="K55" i="6"/>
  <c r="M41" i="6"/>
  <c r="L49" i="6"/>
  <c r="L53" i="6" s="1"/>
  <c r="J74" i="6"/>
  <c r="K6" i="6" s="1"/>
  <c r="O34" i="6"/>
  <c r="O38" i="6" s="1"/>
  <c r="N38" i="6"/>
  <c r="K5" i="9"/>
  <c r="J7" i="9"/>
  <c r="Y5" i="6"/>
  <c r="L5" i="6"/>
  <c r="M5" i="6" s="1"/>
  <c r="H11" i="4"/>
  <c r="H59" i="4" s="1"/>
  <c r="K74" i="6" l="1"/>
  <c r="L6" i="6" s="1"/>
  <c r="L55" i="6"/>
  <c r="L72" i="6"/>
  <c r="N41" i="6"/>
  <c r="M49" i="6"/>
  <c r="M53" i="6" s="1"/>
  <c r="P34" i="6"/>
  <c r="P38" i="6" s="1"/>
  <c r="L5" i="9"/>
  <c r="K7" i="9"/>
  <c r="Z5" i="6"/>
  <c r="I11" i="4"/>
  <c r="I59" i="4" s="1"/>
  <c r="L74" i="6" l="1"/>
  <c r="M6" i="6" s="1"/>
  <c r="M55" i="6"/>
  <c r="M72" i="6"/>
  <c r="O41" i="6"/>
  <c r="N49" i="6"/>
  <c r="N53" i="6" s="1"/>
  <c r="M5" i="9"/>
  <c r="L7" i="9"/>
  <c r="AA5" i="6"/>
  <c r="N5" i="6"/>
  <c r="O5" i="6" s="1"/>
  <c r="J11" i="4"/>
  <c r="J59" i="4" s="1"/>
  <c r="M74" i="6" l="1"/>
  <c r="N6" i="6" s="1"/>
  <c r="N55" i="6"/>
  <c r="N72" i="6"/>
  <c r="O49" i="6"/>
  <c r="O53" i="6" s="1"/>
  <c r="P41" i="6"/>
  <c r="P49" i="6" s="1"/>
  <c r="M7" i="9"/>
  <c r="N5" i="9"/>
  <c r="N7" i="9" s="1"/>
  <c r="AC5" i="6"/>
  <c r="AB5" i="6"/>
  <c r="K11" i="4"/>
  <c r="K59" i="4" s="1"/>
  <c r="O72" i="6" l="1"/>
  <c r="P72" i="6" s="1"/>
  <c r="O55" i="6"/>
  <c r="P55" i="6" s="1"/>
  <c r="P53" i="6"/>
  <c r="N74" i="6"/>
  <c r="O6" i="6" s="1"/>
  <c r="L11" i="4"/>
  <c r="L59" i="4" s="1"/>
  <c r="O74" i="6" l="1"/>
  <c r="R6" i="6" s="1"/>
  <c r="R74" i="6" s="1"/>
  <c r="S6" i="6" s="1"/>
  <c r="S74" i="6" s="1"/>
  <c r="T6" i="6" s="1"/>
  <c r="T74" i="6" s="1"/>
  <c r="U6" i="6" s="1"/>
  <c r="U74" i="6" s="1"/>
  <c r="V6" i="6" s="1"/>
  <c r="V74" i="6" s="1"/>
  <c r="W6" i="6" s="1"/>
  <c r="W74" i="6" s="1"/>
  <c r="X6" i="6" s="1"/>
  <c r="X74" i="6" s="1"/>
  <c r="Y6" i="6" s="1"/>
  <c r="Y74" i="6" s="1"/>
  <c r="Z6" i="6" s="1"/>
  <c r="Z74" i="6" s="1"/>
  <c r="AA6" i="6" s="1"/>
  <c r="AA74" i="6" s="1"/>
  <c r="AB6" i="6" s="1"/>
  <c r="AB74" i="6" s="1"/>
  <c r="AC6" i="6" s="1"/>
  <c r="AC74" i="6" s="1"/>
  <c r="M11" i="4"/>
  <c r="M59" i="4" s="1"/>
  <c r="N11" i="4" l="1"/>
  <c r="N59" i="4" s="1"/>
  <c r="O11" i="4" l="1"/>
  <c r="O59" i="4" s="1"/>
  <c r="P11" i="4" s="1"/>
  <c r="P59" i="4" s="1"/>
  <c r="Q11" i="4" s="1"/>
  <c r="Q59" i="4" s="1"/>
  <c r="R11" i="4" s="1"/>
  <c r="R59" i="4" s="1"/>
  <c r="S11" i="4" s="1"/>
  <c r="S59" i="4" s="1"/>
  <c r="T11" i="4" s="1"/>
  <c r="T59" i="4" s="1"/>
  <c r="U11" i="4" s="1"/>
  <c r="U59" i="4" s="1"/>
  <c r="V11" i="4" s="1"/>
  <c r="V59" i="4" s="1"/>
  <c r="W11" i="4" s="1"/>
  <c r="W59" i="4" s="1"/>
  <c r="X11" i="4" s="1"/>
  <c r="X59" i="4" s="1"/>
  <c r="Y11" i="4" s="1"/>
  <c r="Y59" i="4" s="1"/>
  <c r="Z11" i="4" s="1"/>
  <c r="Z59" i="4" s="1"/>
  <c r="AA11" i="4" s="1"/>
  <c r="AA5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1" authorId="0" shapeId="0" xr:uid="{4D62B4FB-69D4-43A8-816D-8EA557A4FD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User to set the initial cash amount manually (Check ending bank statement or financial statements). </t>
        </r>
      </text>
    </comment>
    <comment ref="A14" authorId="0" shapeId="0" xr:uid="{526CCF6D-38EB-42FE-8B71-0E1F5A5C49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This is when you receive cash, not when you invoice a client. </t>
        </r>
      </text>
    </comment>
    <comment ref="A22" authorId="0" shapeId="0" xr:uid="{AF96ED4C-2FBD-49D5-B34A-C95B29C03C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Cash expenses
</t>
        </r>
      </text>
    </comment>
    <comment ref="C59" authorId="0" shapeId="0" xr:uid="{652292B5-EB5B-484F-9C9F-5C5E1F1B02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This number should closely match your ending bank statement or financial statement cash balance. Compare this to financial statements to guage your cash forecasting accuracy. </t>
        </r>
      </text>
    </comment>
  </commentList>
</comments>
</file>

<file path=xl/sharedStrings.xml><?xml version="1.0" encoding="utf-8"?>
<sst xmlns="http://schemas.openxmlformats.org/spreadsheetml/2006/main" count="167" uniqueCount="149">
  <si>
    <t xml:space="preserve">Cash Flow Forecasting can be one of the most effective tools in a small businesses financial toolbelt! </t>
  </si>
  <si>
    <t xml:space="preserve">If you don't love Excel, no worries. We built this for anyone to use, not just Excel nerds like us. </t>
  </si>
  <si>
    <t>What this document is:</t>
  </si>
  <si>
    <t>1) An additional way to look at and predict what your business finances can look like in the future</t>
  </si>
  <si>
    <t>2) A tool to use in helping you make decisions</t>
  </si>
  <si>
    <t xml:space="preserve">3) Supposed to be tested, manipulated, and modified </t>
  </si>
  <si>
    <t xml:space="preserve">4) Meant to be an approximation of what could happen in the future if certain decisions are made/not made </t>
  </si>
  <si>
    <t xml:space="preserve">5) Something that you may want to look over with a business partner, financial adviser, CFO, CPA, or Business Coach for additional input </t>
  </si>
  <si>
    <t xml:space="preserve">6) Something that you review regularly based on what makes sense to your business operations. </t>
  </si>
  <si>
    <t>What this document is not:</t>
  </si>
  <si>
    <t>1) A financial statement - this is not telling you historical fact, it's used to estimate the future</t>
  </si>
  <si>
    <t>2) A document you send to your banker or used to apply for a loan.</t>
  </si>
  <si>
    <t xml:space="preserve">3) Meant to be ultimately precise. You can't get precision when dealing with forecasts and estimates </t>
  </si>
  <si>
    <t xml:space="preserve">4) Meant to be done once at the beginning of the year and never looked at again </t>
  </si>
  <si>
    <t xml:space="preserve">Use of this document: </t>
  </si>
  <si>
    <t xml:space="preserve">1) Please use this document and customize it for your business scenarios. </t>
  </si>
  <si>
    <t xml:space="preserve">2) Please make copies of the tabs and use it to compare scenarios in decision making </t>
  </si>
  <si>
    <t xml:space="preserve">3) Please feel free to share it with other business owners. If you do however, please leave the Clara CFO Logo in the document. </t>
  </si>
  <si>
    <r>
      <t xml:space="preserve">4) Please reach out to us with any questions regarding this document: </t>
    </r>
    <r>
      <rPr>
        <u/>
        <sz val="11"/>
        <color theme="1"/>
        <rFont val="Calibri"/>
        <family val="2"/>
        <scheme val="minor"/>
      </rPr>
      <t>hello@claracfo.com</t>
    </r>
    <r>
      <rPr>
        <sz val="11"/>
        <color theme="1"/>
        <rFont val="Calibri"/>
        <family val="2"/>
        <scheme val="minor"/>
      </rPr>
      <t xml:space="preserve"> </t>
    </r>
  </si>
  <si>
    <t xml:space="preserve">Period (Month): </t>
  </si>
  <si>
    <t>Cash at the Beginning of the period</t>
  </si>
  <si>
    <t>Income Sources (CASH IN)</t>
  </si>
  <si>
    <t>Revenue Steam # 1</t>
  </si>
  <si>
    <t>Revenue Steam # 2</t>
  </si>
  <si>
    <t>Revenue Steam # 3</t>
  </si>
  <si>
    <t>Total Income:</t>
  </si>
  <si>
    <t>Expenses (CASH OUT)</t>
  </si>
  <si>
    <t>Payroll</t>
  </si>
  <si>
    <t>Payroll taxes</t>
  </si>
  <si>
    <t>Insurance</t>
  </si>
  <si>
    <t>Utilities</t>
  </si>
  <si>
    <t>Expense #2</t>
  </si>
  <si>
    <t>Expense #3</t>
  </si>
  <si>
    <t>Expense #4</t>
  </si>
  <si>
    <t>Expense #5</t>
  </si>
  <si>
    <t>Expense #6</t>
  </si>
  <si>
    <t>Total Operating Expenses:</t>
  </si>
  <si>
    <t>Other Changes in Cash (CASH OUT)</t>
  </si>
  <si>
    <t>Other #1</t>
  </si>
  <si>
    <t>Other changes in cash out:</t>
  </si>
  <si>
    <t>Other Changes in Cash (CASH IN)</t>
  </si>
  <si>
    <t>Cash Received from Loan</t>
  </si>
  <si>
    <t>Cash received from investment</t>
  </si>
  <si>
    <t>Other #2</t>
  </si>
  <si>
    <t>Other changes in cash in:</t>
  </si>
  <si>
    <t>Total Changes in cash</t>
  </si>
  <si>
    <t>Cash at the end of the period:</t>
  </si>
  <si>
    <t>Don't Let cash go below:</t>
  </si>
  <si>
    <t xml:space="preserve">Wages #1 </t>
  </si>
  <si>
    <t xml:space="preserve">Wages #2 </t>
  </si>
  <si>
    <t>Distributions/Draws</t>
  </si>
  <si>
    <t>Mortgage/Rent</t>
  </si>
  <si>
    <t xml:space="preserve">Child Expenses </t>
  </si>
  <si>
    <t xml:space="preserve">Food </t>
  </si>
  <si>
    <t>Cell Phone</t>
  </si>
  <si>
    <t>Gas</t>
  </si>
  <si>
    <t>Healthcare</t>
  </si>
  <si>
    <t xml:space="preserve">Shopping </t>
  </si>
  <si>
    <t>Entertainment</t>
  </si>
  <si>
    <t>Pets</t>
  </si>
  <si>
    <t>Travel</t>
  </si>
  <si>
    <t>Expense #7</t>
  </si>
  <si>
    <t>Loan #1</t>
  </si>
  <si>
    <t>Loan #2</t>
  </si>
  <si>
    <t>Loan #3</t>
  </si>
  <si>
    <t>Savings #1</t>
  </si>
  <si>
    <t>Savings #2</t>
  </si>
  <si>
    <t>Savings #3</t>
  </si>
  <si>
    <t xml:space="preserve">Misc </t>
  </si>
  <si>
    <t>Cash Rhythms:</t>
  </si>
  <si>
    <t>Note: If you want to change the drop down list options for "Cadence", unhide column H and edit options</t>
  </si>
  <si>
    <t>mulitple times per day</t>
  </si>
  <si>
    <t>once per day</t>
  </si>
  <si>
    <t xml:space="preserve">Incoming Cash </t>
  </si>
  <si>
    <t>Cadence</t>
  </si>
  <si>
    <t xml:space="preserve">Day </t>
  </si>
  <si>
    <t>Acceleration Action</t>
  </si>
  <si>
    <t xml:space="preserve">weekly </t>
  </si>
  <si>
    <t>semi-monthly (24x per year)</t>
  </si>
  <si>
    <t xml:space="preserve">bi-weekly (26x per year) </t>
  </si>
  <si>
    <t xml:space="preserve">Monthly </t>
  </si>
  <si>
    <t xml:space="preserve">Quarterly </t>
  </si>
  <si>
    <t xml:space="preserve">Annual </t>
  </si>
  <si>
    <t>Ad Hoc</t>
  </si>
  <si>
    <t>Other</t>
  </si>
  <si>
    <t xml:space="preserve">Outgoing Cash </t>
  </si>
  <si>
    <t>Deceleration Action</t>
  </si>
  <si>
    <t xml:space="preserve">Video Explaining here: </t>
  </si>
  <si>
    <t>https://youtu.be/8S1EBcJ3pXo</t>
  </si>
  <si>
    <t>Podcasts</t>
  </si>
  <si>
    <t>Meeting Expenses</t>
  </si>
  <si>
    <t>Workshop Sponsorship</t>
  </si>
  <si>
    <t>Christine Gatti(150)</t>
  </si>
  <si>
    <t>Rich Impact Consulting (50)</t>
  </si>
  <si>
    <t>David Theran (150)</t>
  </si>
  <si>
    <t>Other Gifts &amp; Grants</t>
  </si>
  <si>
    <t>Year 1</t>
  </si>
  <si>
    <t>Workshops</t>
  </si>
  <si>
    <t>Office Expense</t>
  </si>
  <si>
    <t>Technology</t>
  </si>
  <si>
    <t>Legal and Startup</t>
  </si>
  <si>
    <t>Fees</t>
  </si>
  <si>
    <t>Eastern Bank(3500)</t>
  </si>
  <si>
    <t>East Cambridge(5000)</t>
  </si>
  <si>
    <t>Middlesex(10,000)</t>
  </si>
  <si>
    <t>Schwartz Foundation(1000)</t>
  </si>
  <si>
    <t>Urban Tech</t>
  </si>
  <si>
    <t>Bank Fees</t>
  </si>
  <si>
    <t>IT</t>
  </si>
  <si>
    <t>$6/user/mo basic Google Workspace (may become free after we confirm tax exempt).</t>
  </si>
  <si>
    <t>$12/user/month Zoom license (if we decide to cover it). </t>
  </si>
  <si>
    <t>Website</t>
  </si>
  <si>
    <t>Zoom</t>
  </si>
  <si>
    <t># of Users</t>
  </si>
  <si>
    <t>$30/year domain registration for 2 domains 
$30/mo for website hosting</t>
  </si>
  <si>
    <t>GoogleWorkspace</t>
  </si>
  <si>
    <t>Marketing</t>
  </si>
  <si>
    <t>I think we may have found a solution for a CRM platform at no charge, more to come. </t>
  </si>
  <si>
    <t>If we decide to hold in-person meetings the room usually runs ~ $150 and Beverly can tell you estimated costs for refreshments</t>
  </si>
  <si>
    <t>There may be some additional charges for anyone who wants business cards ($8 for 50 shipped to their address in about two weeks) or a name badge ($7 shipped to their address in about two weeks). </t>
  </si>
  <si>
    <t>Trade Show sign $64. </t>
  </si>
  <si>
    <t>Client Appreciation / Client of the Year Luncheon - $5,000?</t>
  </si>
  <si>
    <t>CRM System</t>
  </si>
  <si>
    <t>Mentor Donations</t>
  </si>
  <si>
    <t>Clients</t>
  </si>
  <si>
    <t>Corporate Sponsorships</t>
  </si>
  <si>
    <t>Grants</t>
  </si>
  <si>
    <t>fa</t>
  </si>
  <si>
    <t>Fundraising &amp; Marketing</t>
  </si>
  <si>
    <t>Conferences</t>
  </si>
  <si>
    <t>Total Fundraising and Marketing</t>
  </si>
  <si>
    <t>Hubspot</t>
  </si>
  <si>
    <t>Telecomunications-Zoom</t>
  </si>
  <si>
    <t>Total Technology</t>
  </si>
  <si>
    <t>Administration &amp; Overhead</t>
  </si>
  <si>
    <t>Programs</t>
  </si>
  <si>
    <t xml:space="preserve">Website </t>
  </si>
  <si>
    <t>Advertising &amp; Social Media</t>
  </si>
  <si>
    <t>Total Programs</t>
  </si>
  <si>
    <t>Google Workspace</t>
  </si>
  <si>
    <t>Total Admin &amp; Overhead</t>
  </si>
  <si>
    <t>Net Cash Flow</t>
  </si>
  <si>
    <t>Constant Contact</t>
  </si>
  <si>
    <t xml:space="preserve">Expenses </t>
  </si>
  <si>
    <t>Budget/Cash Flow</t>
  </si>
  <si>
    <t>Workshop Sponsorship/Fees</t>
  </si>
  <si>
    <t>Professional Fees (Fund Raising)</t>
  </si>
  <si>
    <t>QB&amp; Tax  Prep</t>
  </si>
  <si>
    <t>Bank &amp; CC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</si>
</sst>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42424"/>
      <name val="Segoe UI"/>
      <family val="2"/>
    </font>
    <font>
      <sz val="9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C499A"/>
        <bgColor indexed="64"/>
      </patternFill>
    </fill>
    <fill>
      <patternFill patternType="solid">
        <fgColor rgb="FFD8DF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17" fontId="4" fillId="0" borderId="2" xfId="0" applyNumberFormat="1" applyFont="1" applyBorder="1" applyAlignment="1">
      <alignment horizontal="center"/>
    </xf>
    <xf numFmtId="0" fontId="6" fillId="0" borderId="0" xfId="0" applyFont="1"/>
    <xf numFmtId="43" fontId="4" fillId="0" borderId="0" xfId="1" applyFont="1"/>
    <xf numFmtId="164" fontId="4" fillId="0" borderId="0" xfId="1" applyNumberFormat="1" applyFont="1" applyBorder="1" applyAlignment="1">
      <alignment horizontal="center"/>
    </xf>
    <xf numFmtId="164" fontId="4" fillId="0" borderId="0" xfId="1" applyNumberFormat="1" applyFont="1"/>
    <xf numFmtId="164" fontId="4" fillId="0" borderId="4" xfId="1" applyNumberFormat="1" applyFont="1" applyBorder="1"/>
    <xf numFmtId="0" fontId="5" fillId="0" borderId="0" xfId="0" applyFont="1" applyAlignment="1">
      <alignment horizontal="right"/>
    </xf>
    <xf numFmtId="0" fontId="4" fillId="2" borderId="0" xfId="0" applyFont="1" applyFill="1"/>
    <xf numFmtId="164" fontId="5" fillId="3" borderId="0" xfId="1" applyNumberFormat="1" applyFont="1" applyFill="1"/>
    <xf numFmtId="38" fontId="5" fillId="3" borderId="0" xfId="1" applyNumberFormat="1" applyFont="1" applyFill="1"/>
    <xf numFmtId="38" fontId="4" fillId="3" borderId="5" xfId="1" applyNumberFormat="1" applyFont="1" applyFill="1" applyBorder="1"/>
    <xf numFmtId="164" fontId="5" fillId="0" borderId="0" xfId="1" applyNumberFormat="1" applyFont="1" applyFill="1" applyBorder="1" applyAlignment="1">
      <alignment horizontal="center"/>
    </xf>
    <xf numFmtId="164" fontId="7" fillId="3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10" fillId="2" borderId="0" xfId="0" applyFont="1" applyFill="1"/>
    <xf numFmtId="164" fontId="7" fillId="0" borderId="0" xfId="1" applyNumberFormat="1" applyFont="1" applyFill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3" fillId="0" borderId="4" xfId="0" applyFont="1" applyBorder="1"/>
    <xf numFmtId="0" fontId="16" fillId="0" borderId="0" xfId="2"/>
    <xf numFmtId="0" fontId="0" fillId="0" borderId="0" xfId="0" applyAlignment="1">
      <alignment horizontal="right"/>
    </xf>
    <xf numFmtId="164" fontId="5" fillId="0" borderId="0" xfId="1" applyNumberFormat="1" applyFont="1" applyFill="1"/>
    <xf numFmtId="164" fontId="4" fillId="0" borderId="0" xfId="1" applyNumberFormat="1" applyFont="1" applyFill="1"/>
    <xf numFmtId="0" fontId="4" fillId="0" borderId="0" xfId="0" applyFont="1" applyAlignment="1">
      <alignment horizontal="left"/>
    </xf>
    <xf numFmtId="17" fontId="4" fillId="0" borderId="8" xfId="0" applyNumberFormat="1" applyFont="1" applyBorder="1" applyAlignment="1">
      <alignment horizontal="center"/>
    </xf>
    <xf numFmtId="164" fontId="7" fillId="3" borderId="9" xfId="1" applyNumberFormat="1" applyFont="1" applyFill="1" applyBorder="1" applyAlignment="1">
      <alignment horizontal="center"/>
    </xf>
    <xf numFmtId="164" fontId="7" fillId="0" borderId="9" xfId="1" applyNumberFormat="1" applyFont="1" applyFill="1" applyBorder="1" applyAlignment="1">
      <alignment horizontal="center"/>
    </xf>
    <xf numFmtId="164" fontId="4" fillId="0" borderId="9" xfId="1" applyNumberFormat="1" applyFont="1" applyBorder="1"/>
    <xf numFmtId="164" fontId="4" fillId="0" borderId="10" xfId="1" applyNumberFormat="1" applyFont="1" applyBorder="1"/>
    <xf numFmtId="164" fontId="5" fillId="3" borderId="9" xfId="1" applyNumberFormat="1" applyFont="1" applyFill="1" applyBorder="1"/>
    <xf numFmtId="164" fontId="5" fillId="0" borderId="9" xfId="1" applyNumberFormat="1" applyFont="1" applyFill="1" applyBorder="1"/>
    <xf numFmtId="164" fontId="4" fillId="0" borderId="9" xfId="1" applyNumberFormat="1" applyFont="1" applyFill="1" applyBorder="1"/>
    <xf numFmtId="38" fontId="5" fillId="3" borderId="9" xfId="1" applyNumberFormat="1" applyFont="1" applyFill="1" applyBorder="1"/>
    <xf numFmtId="38" fontId="4" fillId="3" borderId="8" xfId="1" applyNumberFormat="1" applyFont="1" applyFill="1" applyBorder="1"/>
    <xf numFmtId="164" fontId="4" fillId="0" borderId="0" xfId="1" applyNumberFormat="1" applyFont="1" applyBorder="1"/>
    <xf numFmtId="0" fontId="4" fillId="7" borderId="0" xfId="0" applyFont="1" applyFill="1"/>
    <xf numFmtId="0" fontId="6" fillId="7" borderId="0" xfId="0" applyFont="1" applyFill="1"/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right"/>
    </xf>
    <xf numFmtId="164" fontId="17" fillId="3" borderId="12" xfId="1" applyNumberFormat="1" applyFont="1" applyFill="1" applyBorder="1"/>
    <xf numFmtId="164" fontId="17" fillId="3" borderId="13" xfId="1" applyNumberFormat="1" applyFont="1" applyFill="1" applyBorder="1"/>
    <xf numFmtId="43" fontId="4" fillId="6" borderId="0" xfId="1" applyFont="1" applyFill="1"/>
    <xf numFmtId="164" fontId="5" fillId="3" borderId="0" xfId="1" applyNumberFormat="1" applyFont="1" applyFill="1" applyBorder="1"/>
    <xf numFmtId="164" fontId="17" fillId="3" borderId="0" xfId="1" applyNumberFormat="1" applyFont="1" applyFill="1" applyBorder="1"/>
    <xf numFmtId="164" fontId="5" fillId="0" borderId="0" xfId="1" applyNumberFormat="1" applyFont="1" applyFill="1" applyBorder="1"/>
    <xf numFmtId="164" fontId="4" fillId="0" borderId="0" xfId="1" applyNumberFormat="1" applyFont="1" applyFill="1" applyBorder="1"/>
    <xf numFmtId="38" fontId="5" fillId="3" borderId="0" xfId="1" applyNumberFormat="1" applyFont="1" applyFill="1" applyBorder="1"/>
    <xf numFmtId="38" fontId="4" fillId="3" borderId="14" xfId="1" applyNumberFormat="1" applyFont="1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wrapText="1"/>
    </xf>
    <xf numFmtId="0" fontId="22" fillId="0" borderId="0" xfId="0" applyFont="1" applyAlignment="1">
      <alignment vertical="center" wrapText="1"/>
    </xf>
    <xf numFmtId="0" fontId="13" fillId="0" borderId="0" xfId="0" applyFont="1"/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64" fontId="5" fillId="0" borderId="2" xfId="1" applyNumberFormat="1" applyFont="1" applyFill="1" applyBorder="1"/>
    <xf numFmtId="164" fontId="5" fillId="0" borderId="8" xfId="1" applyNumberFormat="1" applyFont="1" applyFill="1" applyBorder="1"/>
    <xf numFmtId="0" fontId="4" fillId="0" borderId="2" xfId="0" applyFont="1" applyBorder="1"/>
    <xf numFmtId="164" fontId="4" fillId="0" borderId="2" xfId="1" applyNumberFormat="1" applyFont="1" applyBorder="1"/>
    <xf numFmtId="16" fontId="4" fillId="2" borderId="0" xfId="0" applyNumberFormat="1" applyFont="1" applyFill="1"/>
    <xf numFmtId="13" fontId="4" fillId="2" borderId="0" xfId="3" applyNumberFormat="1" applyFont="1" applyFill="1"/>
    <xf numFmtId="16" fontId="4" fillId="0" borderId="0" xfId="0" applyNumberFormat="1" applyFont="1"/>
    <xf numFmtId="164" fontId="4" fillId="0" borderId="8" xfId="1" applyNumberFormat="1" applyFont="1" applyBorder="1"/>
    <xf numFmtId="0" fontId="6" fillId="0" borderId="1" xfId="0" applyFont="1" applyBorder="1"/>
    <xf numFmtId="0" fontId="5" fillId="0" borderId="1" xfId="0" applyFont="1" applyBorder="1"/>
    <xf numFmtId="164" fontId="5" fillId="0" borderId="2" xfId="1" applyNumberFormat="1" applyFont="1" applyBorder="1"/>
    <xf numFmtId="164" fontId="5" fillId="0" borderId="8" xfId="1" applyNumberFormat="1" applyFont="1" applyBorder="1"/>
    <xf numFmtId="0" fontId="4" fillId="0" borderId="5" xfId="0" applyFont="1" applyBorder="1" applyAlignment="1">
      <alignment horizontal="right"/>
    </xf>
    <xf numFmtId="164" fontId="5" fillId="0" borderId="5" xfId="1" applyNumberFormat="1" applyFont="1" applyFill="1" applyBorder="1"/>
    <xf numFmtId="164" fontId="5" fillId="0" borderId="15" xfId="1" applyNumberFormat="1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5" fillId="5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0" borderId="0" xfId="0" applyFo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2"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D8DFE1"/>
      <color rgb="FF8AC0C1"/>
      <color rgb="FF2C499A"/>
      <color rgb="FF61BBEA"/>
      <color rgb="FF479CD6"/>
      <color rgb="FF28B788"/>
      <color rgb="FF0052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.be/0BGanYasxn8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297018</xdr:colOff>
      <xdr:row>37</xdr:row>
      <xdr:rowOff>134326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6D38F-D3D4-6E3E-28D4-074619405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90500"/>
          <a:ext cx="12489018" cy="6992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144781</xdr:colOff>
      <xdr:row>0</xdr:row>
      <xdr:rowOff>57150</xdr:rowOff>
    </xdr:from>
    <xdr:to>
      <xdr:col>0</xdr:col>
      <xdr:colOff>266701</xdr:colOff>
      <xdr:row>0</xdr:row>
      <xdr:rowOff>138483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02E48-14B5-43DD-A923-FDD6DFDA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4781" y="57150"/>
          <a:ext cx="121920" cy="81333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0</xdr:row>
      <xdr:rowOff>57150</xdr:rowOff>
    </xdr:from>
    <xdr:to>
      <xdr:col>0</xdr:col>
      <xdr:colOff>266701</xdr:colOff>
      <xdr:row>0</xdr:row>
      <xdr:rowOff>138483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91312B-AA1D-4733-AA3D-A0CAC241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4781" y="57150"/>
          <a:ext cx="121920" cy="81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57150</xdr:rowOff>
    </xdr:from>
    <xdr:to>
      <xdr:col>2</xdr:col>
      <xdr:colOff>550295</xdr:colOff>
      <xdr:row>7</xdr:row>
      <xdr:rowOff>108585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19D75-BB95-4CA5-B681-577D62DAB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7150"/>
          <a:ext cx="1845695" cy="12211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8S1EBcJ3pX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4B6D-FB25-4AF5-8834-ECA4B03AB350}">
  <dimension ref="A1:A22"/>
  <sheetViews>
    <sheetView topLeftCell="A13" workbookViewId="0">
      <selection activeCell="A18" sqref="A18"/>
    </sheetView>
  </sheetViews>
  <sheetFormatPr defaultRowHeight="15" x14ac:dyDescent="0.25"/>
  <cols>
    <col min="1" max="1" width="13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s="16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x14ac:dyDescent="0.25">
      <c r="A12" s="16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8" spans="1:1" x14ac:dyDescent="0.25">
      <c r="A18" s="16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B140-A0B1-4D87-97E0-91F5DAED8BEE}">
  <dimension ref="A1"/>
  <sheetViews>
    <sheetView topLeftCell="A13" workbookViewId="0">
      <selection activeCell="Z8" sqref="Z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2885-8406-41A3-A3E9-95FBCE88BAC4}">
  <dimension ref="A1:H47"/>
  <sheetViews>
    <sheetView topLeftCell="A6" workbookViewId="0">
      <selection activeCell="D3" sqref="D3"/>
    </sheetView>
  </sheetViews>
  <sheetFormatPr defaultRowHeight="15" x14ac:dyDescent="0.25"/>
  <cols>
    <col min="2" max="2" width="28" customWidth="1"/>
    <col min="3" max="3" width="24.7109375" customWidth="1"/>
    <col min="4" max="4" width="23.28515625" customWidth="1"/>
    <col min="5" max="5" width="64" customWidth="1"/>
    <col min="8" max="8" width="9.140625" hidden="1" customWidth="1"/>
  </cols>
  <sheetData>
    <row r="1" spans="1:8" ht="23.25" x14ac:dyDescent="0.35">
      <c r="A1" s="20" t="s">
        <v>69</v>
      </c>
      <c r="C1" s="21" t="s">
        <v>70</v>
      </c>
    </row>
    <row r="2" spans="1:8" x14ac:dyDescent="0.25">
      <c r="B2" s="24" t="s">
        <v>87</v>
      </c>
      <c r="C2" s="23" t="s">
        <v>88</v>
      </c>
    </row>
    <row r="3" spans="1:8" x14ac:dyDescent="0.25">
      <c r="H3" t="s">
        <v>71</v>
      </c>
    </row>
    <row r="4" spans="1:8" x14ac:dyDescent="0.25">
      <c r="H4" t="s">
        <v>72</v>
      </c>
    </row>
    <row r="5" spans="1:8" x14ac:dyDescent="0.25">
      <c r="B5" s="22" t="s">
        <v>73</v>
      </c>
      <c r="C5" s="22" t="s">
        <v>74</v>
      </c>
      <c r="D5" s="22" t="s">
        <v>75</v>
      </c>
      <c r="E5" s="22" t="s">
        <v>76</v>
      </c>
      <c r="H5" t="s">
        <v>77</v>
      </c>
    </row>
    <row r="6" spans="1:8" x14ac:dyDescent="0.25">
      <c r="A6">
        <v>1</v>
      </c>
      <c r="H6" t="s">
        <v>78</v>
      </c>
    </row>
    <row r="7" spans="1:8" x14ac:dyDescent="0.25">
      <c r="A7">
        <v>2</v>
      </c>
      <c r="H7" t="s">
        <v>79</v>
      </c>
    </row>
    <row r="8" spans="1:8" x14ac:dyDescent="0.25">
      <c r="A8">
        <v>3</v>
      </c>
      <c r="H8" t="s">
        <v>80</v>
      </c>
    </row>
    <row r="9" spans="1:8" x14ac:dyDescent="0.25">
      <c r="A9">
        <v>4</v>
      </c>
      <c r="H9" t="s">
        <v>81</v>
      </c>
    </row>
    <row r="10" spans="1:8" x14ac:dyDescent="0.25">
      <c r="A10">
        <v>5</v>
      </c>
      <c r="H10" t="s">
        <v>82</v>
      </c>
    </row>
    <row r="11" spans="1:8" x14ac:dyDescent="0.25">
      <c r="A11">
        <v>6</v>
      </c>
      <c r="H11" t="s">
        <v>83</v>
      </c>
    </row>
    <row r="12" spans="1:8" x14ac:dyDescent="0.25">
      <c r="A12">
        <v>7</v>
      </c>
      <c r="H12" t="s">
        <v>84</v>
      </c>
    </row>
    <row r="13" spans="1:8" x14ac:dyDescent="0.25">
      <c r="A13">
        <v>8</v>
      </c>
    </row>
    <row r="14" spans="1:8" x14ac:dyDescent="0.25">
      <c r="A14">
        <v>9</v>
      </c>
    </row>
    <row r="15" spans="1:8" x14ac:dyDescent="0.25">
      <c r="A15">
        <v>10</v>
      </c>
    </row>
    <row r="17" spans="1:5" x14ac:dyDescent="0.25">
      <c r="B17" s="22" t="s">
        <v>85</v>
      </c>
      <c r="C17" s="22" t="s">
        <v>74</v>
      </c>
      <c r="D17" s="22" t="s">
        <v>75</v>
      </c>
      <c r="E17" s="22" t="s">
        <v>86</v>
      </c>
    </row>
    <row r="18" spans="1:5" x14ac:dyDescent="0.25">
      <c r="A18">
        <v>1</v>
      </c>
    </row>
    <row r="19" spans="1:5" x14ac:dyDescent="0.25">
      <c r="A19">
        <v>2</v>
      </c>
    </row>
    <row r="20" spans="1:5" x14ac:dyDescent="0.25">
      <c r="A20">
        <v>3</v>
      </c>
    </row>
    <row r="21" spans="1:5" x14ac:dyDescent="0.25">
      <c r="A21">
        <v>4</v>
      </c>
    </row>
    <row r="22" spans="1:5" x14ac:dyDescent="0.25">
      <c r="A22">
        <v>5</v>
      </c>
    </row>
    <row r="23" spans="1:5" x14ac:dyDescent="0.25">
      <c r="A23">
        <v>6</v>
      </c>
    </row>
    <row r="24" spans="1:5" x14ac:dyDescent="0.25">
      <c r="A24">
        <v>7</v>
      </c>
    </row>
    <row r="25" spans="1:5" x14ac:dyDescent="0.25">
      <c r="A25">
        <v>8</v>
      </c>
    </row>
    <row r="26" spans="1:5" x14ac:dyDescent="0.25">
      <c r="A26">
        <v>9</v>
      </c>
    </row>
    <row r="27" spans="1:5" x14ac:dyDescent="0.25">
      <c r="A27">
        <v>10</v>
      </c>
    </row>
    <row r="28" spans="1:5" x14ac:dyDescent="0.25">
      <c r="A28">
        <v>11</v>
      </c>
    </row>
    <row r="29" spans="1:5" x14ac:dyDescent="0.25">
      <c r="A29">
        <v>12</v>
      </c>
    </row>
    <row r="30" spans="1:5" x14ac:dyDescent="0.25">
      <c r="A30">
        <v>13</v>
      </c>
    </row>
    <row r="31" spans="1:5" x14ac:dyDescent="0.25">
      <c r="A31">
        <v>14</v>
      </c>
    </row>
    <row r="32" spans="1:5" x14ac:dyDescent="0.25">
      <c r="A32">
        <v>15</v>
      </c>
    </row>
    <row r="33" spans="1:1" x14ac:dyDescent="0.25">
      <c r="A33">
        <v>16</v>
      </c>
    </row>
    <row r="34" spans="1:1" x14ac:dyDescent="0.25">
      <c r="A34">
        <v>17</v>
      </c>
    </row>
    <row r="35" spans="1:1" x14ac:dyDescent="0.25">
      <c r="A35">
        <v>18</v>
      </c>
    </row>
    <row r="36" spans="1:1" x14ac:dyDescent="0.25">
      <c r="A36">
        <v>19</v>
      </c>
    </row>
    <row r="37" spans="1:1" x14ac:dyDescent="0.25">
      <c r="A37">
        <v>20</v>
      </c>
    </row>
    <row r="38" spans="1:1" x14ac:dyDescent="0.25">
      <c r="A38">
        <v>21</v>
      </c>
    </row>
    <row r="39" spans="1:1" x14ac:dyDescent="0.25">
      <c r="A39">
        <v>22</v>
      </c>
    </row>
    <row r="40" spans="1:1" x14ac:dyDescent="0.25">
      <c r="A40">
        <v>23</v>
      </c>
    </row>
    <row r="41" spans="1:1" x14ac:dyDescent="0.25">
      <c r="A41">
        <v>24</v>
      </c>
    </row>
    <row r="42" spans="1:1" x14ac:dyDescent="0.25">
      <c r="A42">
        <v>25</v>
      </c>
    </row>
    <row r="43" spans="1:1" x14ac:dyDescent="0.25">
      <c r="A43">
        <v>26</v>
      </c>
    </row>
    <row r="44" spans="1:1" x14ac:dyDescent="0.25">
      <c r="A44">
        <v>27</v>
      </c>
    </row>
    <row r="45" spans="1:1" x14ac:dyDescent="0.25">
      <c r="A45">
        <v>28</v>
      </c>
    </row>
    <row r="46" spans="1:1" x14ac:dyDescent="0.25">
      <c r="A46">
        <v>29</v>
      </c>
    </row>
    <row r="47" spans="1:1" x14ac:dyDescent="0.25">
      <c r="A47">
        <v>30</v>
      </c>
    </row>
  </sheetData>
  <dataValidations count="1">
    <dataValidation type="list" allowBlank="1" showInputMessage="1" showErrorMessage="1" sqref="C18:C36 C6:C16" xr:uid="{30404C66-D960-44E1-AE5F-85FC5B14D7AA}">
      <formula1>$H$3:$H$12</formula1>
    </dataValidation>
  </dataValidations>
  <hyperlinks>
    <hyperlink ref="C2" r:id="rId1" xr:uid="{AD539BF4-4EDF-41A5-8FFB-B56595835A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FB6F-8D46-40D1-A145-6AD544359BA8}">
  <dimension ref="A1:AG203"/>
  <sheetViews>
    <sheetView tabSelected="1" workbookViewId="0">
      <pane xSplit="3" ySplit="6" topLeftCell="D7" activePane="bottomRight" state="frozen"/>
      <selection pane="topRight" activeCell="D1" sqref="D1"/>
      <selection pane="bottomLeft" activeCell="A12" sqref="A12"/>
      <selection pane="bottomRight" activeCell="E48" sqref="E48:O48"/>
    </sheetView>
  </sheetViews>
  <sheetFormatPr defaultColWidth="9.140625" defaultRowHeight="12.75" x14ac:dyDescent="0.2"/>
  <cols>
    <col min="1" max="1" width="6.42578125" style="1" customWidth="1"/>
    <col min="2" max="2" width="13.42578125" style="1" customWidth="1"/>
    <col min="3" max="3" width="20.42578125" style="1" customWidth="1"/>
    <col min="4" max="7" width="8.85546875" style="1" customWidth="1"/>
    <col min="8" max="8" width="10.85546875" style="1" customWidth="1"/>
    <col min="9" max="15" width="8.85546875" style="1" customWidth="1"/>
    <col min="16" max="16" width="13.42578125" style="1" customWidth="1"/>
    <col min="17" max="17" width="5.85546875" style="1" hidden="1" customWidth="1"/>
    <col min="18" max="22" width="8.85546875" style="1" hidden="1" customWidth="1"/>
    <col min="23" max="29" width="9.140625" style="1" hidden="1" customWidth="1"/>
    <col min="30" max="30" width="9.140625" style="27"/>
    <col min="31" max="16384" width="9.140625" style="1"/>
  </cols>
  <sheetData>
    <row r="1" spans="1:33" x14ac:dyDescent="0.2">
      <c r="A1" s="9"/>
      <c r="B1" s="9"/>
      <c r="C1" s="9"/>
      <c r="D1" s="1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33" x14ac:dyDescent="0.2">
      <c r="A2" s="9"/>
      <c r="B2" s="9"/>
      <c r="C2" s="9"/>
      <c r="D2" s="9"/>
      <c r="E2" s="9"/>
      <c r="F2" s="9"/>
      <c r="G2" s="9"/>
      <c r="H2" s="67"/>
      <c r="I2" s="9"/>
      <c r="J2" s="6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3" x14ac:dyDescent="0.2">
      <c r="A3" s="9"/>
      <c r="B3" s="9" t="s">
        <v>144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33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3" x14ac:dyDescent="0.2">
      <c r="C5" s="8" t="s">
        <v>19</v>
      </c>
      <c r="D5" s="2">
        <v>45955</v>
      </c>
      <c r="E5" s="2">
        <f>+D5+31</f>
        <v>45986</v>
      </c>
      <c r="F5" s="2">
        <f t="shared" ref="F5:N5" si="0">+E5+30</f>
        <v>46016</v>
      </c>
      <c r="G5" s="2">
        <f t="shared" si="0"/>
        <v>46046</v>
      </c>
      <c r="H5" s="2">
        <f t="shared" si="0"/>
        <v>46076</v>
      </c>
      <c r="I5" s="2">
        <f t="shared" si="0"/>
        <v>46106</v>
      </c>
      <c r="J5" s="2">
        <f t="shared" si="0"/>
        <v>46136</v>
      </c>
      <c r="K5" s="2">
        <f>+J5+31</f>
        <v>46167</v>
      </c>
      <c r="L5" s="2">
        <f t="shared" si="0"/>
        <v>46197</v>
      </c>
      <c r="M5" s="2">
        <f>+L5+31</f>
        <v>46228</v>
      </c>
      <c r="N5" s="2">
        <f t="shared" si="0"/>
        <v>46258</v>
      </c>
      <c r="O5" s="2">
        <f>+N5+31</f>
        <v>46289</v>
      </c>
      <c r="P5" s="28" t="s">
        <v>96</v>
      </c>
      <c r="Q5" s="2"/>
      <c r="R5" s="2">
        <f t="shared" ref="R5:AC5" si="1">+D5+365</f>
        <v>46320</v>
      </c>
      <c r="S5" s="2">
        <f t="shared" si="1"/>
        <v>46351</v>
      </c>
      <c r="T5" s="2">
        <f t="shared" si="1"/>
        <v>46381</v>
      </c>
      <c r="U5" s="2">
        <f t="shared" si="1"/>
        <v>46411</v>
      </c>
      <c r="V5" s="2">
        <f t="shared" si="1"/>
        <v>46441</v>
      </c>
      <c r="W5" s="2">
        <f t="shared" si="1"/>
        <v>46471</v>
      </c>
      <c r="X5" s="2">
        <f t="shared" si="1"/>
        <v>46501</v>
      </c>
      <c r="Y5" s="2">
        <f t="shared" si="1"/>
        <v>46532</v>
      </c>
      <c r="Z5" s="2">
        <f t="shared" si="1"/>
        <v>46562</v>
      </c>
      <c r="AA5" s="2">
        <f t="shared" si="1"/>
        <v>46593</v>
      </c>
      <c r="AB5" s="2">
        <f t="shared" si="1"/>
        <v>46623</v>
      </c>
      <c r="AC5" s="2">
        <f t="shared" si="1"/>
        <v>46654</v>
      </c>
      <c r="AF5" s="68"/>
    </row>
    <row r="6" spans="1:33" x14ac:dyDescent="0.2">
      <c r="A6" s="27" t="s">
        <v>20</v>
      </c>
      <c r="B6" s="15"/>
      <c r="C6" s="15"/>
      <c r="D6" s="13">
        <v>0</v>
      </c>
      <c r="E6" s="14">
        <f t="shared" ref="E6:AC6" si="2">D74</f>
        <v>9778.75</v>
      </c>
      <c r="F6" s="14">
        <f t="shared" si="2"/>
        <v>7779</v>
      </c>
      <c r="G6" s="14">
        <f t="shared" si="2"/>
        <v>6875.25</v>
      </c>
      <c r="H6" s="14">
        <f t="shared" si="2"/>
        <v>8940.5</v>
      </c>
      <c r="I6" s="14">
        <f t="shared" si="2"/>
        <v>7355.75</v>
      </c>
      <c r="J6" s="14">
        <f t="shared" si="2"/>
        <v>9971</v>
      </c>
      <c r="K6" s="14">
        <f t="shared" si="2"/>
        <v>8936.25</v>
      </c>
      <c r="L6" s="14">
        <f t="shared" si="2"/>
        <v>6851.5</v>
      </c>
      <c r="M6" s="14">
        <f t="shared" si="2"/>
        <v>5566.75</v>
      </c>
      <c r="N6" s="14">
        <f t="shared" si="2"/>
        <v>9432</v>
      </c>
      <c r="O6" s="14">
        <f t="shared" si="2"/>
        <v>8647.25</v>
      </c>
      <c r="P6" s="29"/>
      <c r="Q6" s="14"/>
      <c r="R6" s="14">
        <f>O74</f>
        <v>7062.5</v>
      </c>
      <c r="S6" s="14">
        <f t="shared" si="2"/>
        <v>7062.5</v>
      </c>
      <c r="T6" s="14" t="e">
        <f t="shared" si="2"/>
        <v>#REF!</v>
      </c>
      <c r="U6" s="14" t="e">
        <f t="shared" si="2"/>
        <v>#REF!</v>
      </c>
      <c r="V6" s="14" t="e">
        <f t="shared" si="2"/>
        <v>#REF!</v>
      </c>
      <c r="W6" s="14" t="e">
        <f t="shared" si="2"/>
        <v>#REF!</v>
      </c>
      <c r="X6" s="14" t="e">
        <f t="shared" si="2"/>
        <v>#REF!</v>
      </c>
      <c r="Y6" s="14" t="e">
        <f t="shared" si="2"/>
        <v>#REF!</v>
      </c>
      <c r="Z6" s="14" t="e">
        <f t="shared" si="2"/>
        <v>#REF!</v>
      </c>
      <c r="AA6" s="14" t="e">
        <f t="shared" si="2"/>
        <v>#REF!</v>
      </c>
      <c r="AB6" s="14" t="e">
        <f t="shared" si="2"/>
        <v>#REF!</v>
      </c>
      <c r="AC6" s="14" t="e">
        <f t="shared" si="2"/>
        <v>#REF!</v>
      </c>
    </row>
    <row r="7" spans="1:33" x14ac:dyDescent="0.2"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30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33" ht="18.75" customHeight="1" x14ac:dyDescent="0.2">
      <c r="A8" s="3" t="s">
        <v>21</v>
      </c>
      <c r="B8" s="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31"/>
      <c r="Q8" s="38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33" x14ac:dyDescent="0.2">
      <c r="B9" s="1" t="s">
        <v>123</v>
      </c>
      <c r="D9" s="26">
        <v>13000</v>
      </c>
      <c r="E9" s="6">
        <v>2000</v>
      </c>
      <c r="F9" s="6">
        <v>2000</v>
      </c>
      <c r="G9" s="6">
        <v>1000</v>
      </c>
      <c r="H9" s="6">
        <v>1000</v>
      </c>
      <c r="I9" s="6">
        <v>1000</v>
      </c>
      <c r="J9" s="6">
        <v>1000</v>
      </c>
      <c r="K9" s="6">
        <v>1000</v>
      </c>
      <c r="L9" s="6">
        <v>1000</v>
      </c>
      <c r="M9" s="6">
        <v>1000</v>
      </c>
      <c r="N9" s="6">
        <v>1000</v>
      </c>
      <c r="O9" s="6">
        <v>1000</v>
      </c>
      <c r="P9" s="31">
        <f>SUM(D9:O9)</f>
        <v>26000</v>
      </c>
      <c r="Q9" s="38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33" x14ac:dyDescent="0.2">
      <c r="B10" s="1" t="s">
        <v>124</v>
      </c>
      <c r="D10" s="6">
        <v>250</v>
      </c>
      <c r="E10" s="6">
        <v>250</v>
      </c>
      <c r="F10" s="6">
        <f t="shared" ref="F10:O10" si="3">+E10</f>
        <v>250</v>
      </c>
      <c r="G10" s="6">
        <f t="shared" si="3"/>
        <v>250</v>
      </c>
      <c r="H10" s="6">
        <f t="shared" si="3"/>
        <v>250</v>
      </c>
      <c r="I10" s="6">
        <f t="shared" si="3"/>
        <v>250</v>
      </c>
      <c r="J10" s="6">
        <f t="shared" si="3"/>
        <v>250</v>
      </c>
      <c r="K10" s="6">
        <f t="shared" si="3"/>
        <v>250</v>
      </c>
      <c r="L10" s="6">
        <f t="shared" si="3"/>
        <v>250</v>
      </c>
      <c r="M10" s="6">
        <f t="shared" si="3"/>
        <v>250</v>
      </c>
      <c r="N10" s="6">
        <f t="shared" si="3"/>
        <v>250</v>
      </c>
      <c r="O10" s="6">
        <f t="shared" si="3"/>
        <v>250</v>
      </c>
      <c r="P10" s="31">
        <f t="shared" ref="P10:P13" si="4">SUM(D10:O10)</f>
        <v>3000</v>
      </c>
      <c r="Q10" s="38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33" x14ac:dyDescent="0.2">
      <c r="B11" s="1" t="s">
        <v>145</v>
      </c>
      <c r="D11" s="6"/>
      <c r="E11" s="6"/>
      <c r="F11" s="6"/>
      <c r="G11" s="6">
        <v>4400</v>
      </c>
      <c r="H11" s="6">
        <v>100</v>
      </c>
      <c r="I11" s="6">
        <v>5000</v>
      </c>
      <c r="J11" s="6">
        <v>100</v>
      </c>
      <c r="K11" s="6">
        <v>100</v>
      </c>
      <c r="L11" s="6">
        <v>100</v>
      </c>
      <c r="M11" s="6">
        <v>5000</v>
      </c>
      <c r="N11" s="6">
        <v>100</v>
      </c>
      <c r="O11" s="6">
        <v>100</v>
      </c>
      <c r="P11" s="31">
        <f t="shared" si="4"/>
        <v>15000</v>
      </c>
      <c r="Q11" s="38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33" x14ac:dyDescent="0.2">
      <c r="B12" s="1" t="s">
        <v>125</v>
      </c>
      <c r="D12" s="6"/>
      <c r="E12" s="6"/>
      <c r="F12" s="6"/>
      <c r="G12" s="6"/>
      <c r="H12" s="6">
        <v>1000</v>
      </c>
      <c r="I12" s="6"/>
      <c r="J12" s="6">
        <v>1000</v>
      </c>
      <c r="K12" s="6"/>
      <c r="L12" s="6">
        <v>1000</v>
      </c>
      <c r="M12" s="6"/>
      <c r="N12" s="6">
        <v>1000</v>
      </c>
      <c r="O12" s="6"/>
      <c r="P12" s="31">
        <f t="shared" si="4"/>
        <v>4000</v>
      </c>
      <c r="Q12" s="38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33" x14ac:dyDescent="0.2">
      <c r="B13" s="1" t="s">
        <v>126</v>
      </c>
      <c r="D13" s="6"/>
      <c r="E13" s="6">
        <v>0</v>
      </c>
      <c r="F13" s="6"/>
      <c r="G13" s="6"/>
      <c r="H13" s="6"/>
      <c r="I13" s="6"/>
      <c r="J13" s="6"/>
      <c r="K13" s="6"/>
      <c r="L13" s="6"/>
      <c r="M13" s="6">
        <v>1000</v>
      </c>
      <c r="N13" s="6"/>
      <c r="O13" s="6">
        <v>1000</v>
      </c>
      <c r="P13" s="31">
        <f t="shared" si="4"/>
        <v>2000</v>
      </c>
      <c r="Q13" s="38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33" x14ac:dyDescent="0.2">
      <c r="A14" s="59" t="s">
        <v>25</v>
      </c>
      <c r="B14" s="60"/>
      <c r="C14" s="61"/>
      <c r="D14" s="62">
        <f t="shared" ref="D14:P14" si="5">SUM(D9:D13)</f>
        <v>13250</v>
      </c>
      <c r="E14" s="62">
        <f t="shared" si="5"/>
        <v>2250</v>
      </c>
      <c r="F14" s="62">
        <f t="shared" si="5"/>
        <v>2250</v>
      </c>
      <c r="G14" s="62">
        <f t="shared" si="5"/>
        <v>5650</v>
      </c>
      <c r="H14" s="62">
        <f t="shared" si="5"/>
        <v>2350</v>
      </c>
      <c r="I14" s="62">
        <f t="shared" si="5"/>
        <v>6250</v>
      </c>
      <c r="J14" s="62">
        <f t="shared" si="5"/>
        <v>2350</v>
      </c>
      <c r="K14" s="62">
        <f t="shared" si="5"/>
        <v>1350</v>
      </c>
      <c r="L14" s="62">
        <f t="shared" si="5"/>
        <v>2350</v>
      </c>
      <c r="M14" s="62">
        <f t="shared" si="5"/>
        <v>7250</v>
      </c>
      <c r="N14" s="62">
        <f t="shared" si="5"/>
        <v>2350</v>
      </c>
      <c r="O14" s="62">
        <f t="shared" si="5"/>
        <v>2350</v>
      </c>
      <c r="P14" s="63">
        <f t="shared" si="5"/>
        <v>50000</v>
      </c>
      <c r="Q14" s="46"/>
      <c r="R14" s="10">
        <f>SUM(R9:R13)</f>
        <v>0</v>
      </c>
      <c r="S14" s="10" t="e">
        <f>SUM(#REF!)</f>
        <v>#REF!</v>
      </c>
      <c r="T14" s="10" t="e">
        <f>SUM(#REF!)</f>
        <v>#REF!</v>
      </c>
      <c r="U14" s="10" t="e">
        <f>SUM(#REF!)</f>
        <v>#REF!</v>
      </c>
      <c r="V14" s="10" t="e">
        <f>SUM(#REF!)</f>
        <v>#REF!</v>
      </c>
      <c r="W14" s="10" t="e">
        <f>SUM(#REF!)</f>
        <v>#REF!</v>
      </c>
      <c r="X14" s="10" t="e">
        <f>SUM(#REF!)</f>
        <v>#REF!</v>
      </c>
      <c r="Y14" s="10" t="e">
        <f>SUM(#REF!)</f>
        <v>#REF!</v>
      </c>
      <c r="Z14" s="10" t="e">
        <f>SUM(#REF!)</f>
        <v>#REF!</v>
      </c>
      <c r="AA14" s="10" t="e">
        <f>SUM(#REF!)</f>
        <v>#REF!</v>
      </c>
      <c r="AB14" s="10" t="e">
        <f>SUM(#REF!)</f>
        <v>#REF!</v>
      </c>
      <c r="AC14" s="10" t="e">
        <f>SUM(#REF!)</f>
        <v>#REF!</v>
      </c>
    </row>
    <row r="15" spans="1:33" x14ac:dyDescent="0.2">
      <c r="A15" s="27"/>
      <c r="C15" s="1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34"/>
      <c r="Q15" s="46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33" x14ac:dyDescent="0.2">
      <c r="A16" s="3" t="s">
        <v>143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31"/>
      <c r="Q16" s="3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1" t="s">
        <v>127</v>
      </c>
    </row>
    <row r="17" spans="1:29" x14ac:dyDescent="0.2">
      <c r="A17" s="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31"/>
      <c r="Q17" s="38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">
      <c r="A18" s="83" t="s">
        <v>135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1"/>
      <c r="Q18" s="38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">
      <c r="A19" s="3"/>
      <c r="B19" s="1" t="s">
        <v>97</v>
      </c>
      <c r="D19" s="6"/>
      <c r="E19" s="6"/>
      <c r="F19" s="6">
        <v>50</v>
      </c>
      <c r="G19" s="6">
        <f>+F19</f>
        <v>50</v>
      </c>
      <c r="H19" s="6">
        <f t="shared" ref="H19:O19" si="6">+G19</f>
        <v>50</v>
      </c>
      <c r="I19" s="6">
        <f t="shared" si="6"/>
        <v>50</v>
      </c>
      <c r="J19" s="6">
        <f t="shared" si="6"/>
        <v>50</v>
      </c>
      <c r="K19" s="6">
        <f t="shared" si="6"/>
        <v>50</v>
      </c>
      <c r="L19" s="6">
        <f t="shared" si="6"/>
        <v>50</v>
      </c>
      <c r="M19" s="6">
        <f t="shared" si="6"/>
        <v>50</v>
      </c>
      <c r="N19" s="6">
        <f t="shared" si="6"/>
        <v>50</v>
      </c>
      <c r="O19" s="6">
        <f t="shared" si="6"/>
        <v>50</v>
      </c>
      <c r="P19" s="31">
        <f>SUM(D19:O19)</f>
        <v>500</v>
      </c>
      <c r="Q19" s="38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">
      <c r="A20" s="3"/>
      <c r="B20" s="1" t="s">
        <v>142</v>
      </c>
      <c r="D20" s="6"/>
      <c r="E20" s="6">
        <v>50</v>
      </c>
      <c r="F20" s="6">
        <f>+E20</f>
        <v>50</v>
      </c>
      <c r="G20" s="6">
        <f t="shared" ref="G20:O20" si="7">+F20</f>
        <v>50</v>
      </c>
      <c r="H20" s="6">
        <f t="shared" si="7"/>
        <v>50</v>
      </c>
      <c r="I20" s="6">
        <f t="shared" si="7"/>
        <v>50</v>
      </c>
      <c r="J20" s="6">
        <f t="shared" si="7"/>
        <v>50</v>
      </c>
      <c r="K20" s="6">
        <f t="shared" si="7"/>
        <v>50</v>
      </c>
      <c r="L20" s="6">
        <f t="shared" si="7"/>
        <v>50</v>
      </c>
      <c r="M20" s="6">
        <f t="shared" si="7"/>
        <v>50</v>
      </c>
      <c r="N20" s="6">
        <f t="shared" si="7"/>
        <v>50</v>
      </c>
      <c r="O20" s="6">
        <f t="shared" si="7"/>
        <v>50</v>
      </c>
      <c r="P20" s="31">
        <f>SUM(D20:O20)</f>
        <v>550</v>
      </c>
      <c r="Q20" s="3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">
      <c r="A21" s="3"/>
      <c r="B21" s="1" t="s">
        <v>84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1">
        <f>SUM(D21:O21)</f>
        <v>0</v>
      </c>
      <c r="Q21" s="38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">
      <c r="A22" s="70" t="s">
        <v>138</v>
      </c>
      <c r="B22" s="64"/>
      <c r="C22" s="64"/>
      <c r="D22" s="65">
        <f>SUM(D19:D21)</f>
        <v>0</v>
      </c>
      <c r="E22" s="65">
        <f t="shared" ref="E22:O22" si="8">SUM(E19:E21)</f>
        <v>50</v>
      </c>
      <c r="F22" s="65">
        <f t="shared" si="8"/>
        <v>100</v>
      </c>
      <c r="G22" s="65">
        <f t="shared" si="8"/>
        <v>100</v>
      </c>
      <c r="H22" s="65">
        <f t="shared" si="8"/>
        <v>100</v>
      </c>
      <c r="I22" s="65">
        <f t="shared" si="8"/>
        <v>100</v>
      </c>
      <c r="J22" s="65">
        <f t="shared" si="8"/>
        <v>100</v>
      </c>
      <c r="K22" s="65">
        <f t="shared" si="8"/>
        <v>100</v>
      </c>
      <c r="L22" s="65">
        <f t="shared" si="8"/>
        <v>100</v>
      </c>
      <c r="M22" s="65">
        <f t="shared" si="8"/>
        <v>100</v>
      </c>
      <c r="N22" s="65">
        <f t="shared" si="8"/>
        <v>100</v>
      </c>
      <c r="O22" s="65">
        <f t="shared" si="8"/>
        <v>100</v>
      </c>
      <c r="P22" s="69">
        <f>+P21+P19</f>
        <v>500</v>
      </c>
      <c r="Q22" s="3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">
      <c r="A23" s="3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31"/>
      <c r="Q23" s="38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">
      <c r="A24" s="83" t="s">
        <v>128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31"/>
      <c r="Q24" s="38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">
      <c r="A25" s="3"/>
      <c r="B25" s="1" t="s">
        <v>136</v>
      </c>
      <c r="D25" s="6">
        <f>+IT!B4</f>
        <v>90</v>
      </c>
      <c r="E25" s="6">
        <f>+IT!C4</f>
        <v>30</v>
      </c>
      <c r="F25" s="6">
        <f>+IT!D4</f>
        <v>30</v>
      </c>
      <c r="G25" s="6">
        <f>+IT!E4</f>
        <v>30</v>
      </c>
      <c r="H25" s="6">
        <f>+IT!F4</f>
        <v>30</v>
      </c>
      <c r="I25" s="6">
        <f>+IT!G4</f>
        <v>30</v>
      </c>
      <c r="J25" s="6">
        <f>+IT!H4</f>
        <v>30</v>
      </c>
      <c r="K25" s="6">
        <f>+IT!I4</f>
        <v>30</v>
      </c>
      <c r="L25" s="6">
        <f>+IT!J4</f>
        <v>30</v>
      </c>
      <c r="M25" s="6">
        <f>+IT!K4</f>
        <v>30</v>
      </c>
      <c r="N25" s="6">
        <f>+IT!L4</f>
        <v>30</v>
      </c>
      <c r="O25" s="6">
        <f>+IT!M4</f>
        <v>30</v>
      </c>
      <c r="P25" s="31">
        <f t="shared" ref="P25:P73" si="9">SUM(D25:O25)</f>
        <v>420</v>
      </c>
      <c r="Q25" s="38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">
      <c r="A26" s="3"/>
      <c r="B26" s="1" t="s">
        <v>146</v>
      </c>
      <c r="D26" s="6"/>
      <c r="E26" s="6"/>
      <c r="F26" s="6"/>
      <c r="G26" s="6">
        <v>250</v>
      </c>
      <c r="H26" s="6"/>
      <c r="I26" s="6"/>
      <c r="J26" s="6">
        <v>250</v>
      </c>
      <c r="K26" s="6"/>
      <c r="L26" s="6"/>
      <c r="M26" s="6">
        <v>250</v>
      </c>
      <c r="N26" s="6"/>
      <c r="O26" s="6"/>
      <c r="P26" s="31">
        <f t="shared" si="9"/>
        <v>750</v>
      </c>
      <c r="Q26" s="38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">
      <c r="A27" s="3"/>
      <c r="B27" s="1" t="s">
        <v>137</v>
      </c>
      <c r="D27" s="6"/>
      <c r="E27" s="6">
        <v>150</v>
      </c>
      <c r="F27" s="6">
        <f>+E27</f>
        <v>150</v>
      </c>
      <c r="G27" s="6">
        <f t="shared" ref="G27:O27" si="10">+F27</f>
        <v>150</v>
      </c>
      <c r="H27" s="6">
        <f t="shared" si="10"/>
        <v>150</v>
      </c>
      <c r="I27" s="6">
        <f t="shared" si="10"/>
        <v>150</v>
      </c>
      <c r="J27" s="6">
        <f t="shared" si="10"/>
        <v>150</v>
      </c>
      <c r="K27" s="6">
        <f t="shared" si="10"/>
        <v>150</v>
      </c>
      <c r="L27" s="6">
        <f t="shared" si="10"/>
        <v>150</v>
      </c>
      <c r="M27" s="6">
        <f t="shared" si="10"/>
        <v>150</v>
      </c>
      <c r="N27" s="6">
        <f t="shared" si="10"/>
        <v>150</v>
      </c>
      <c r="O27" s="6">
        <f t="shared" si="10"/>
        <v>150</v>
      </c>
      <c r="P27" s="31">
        <f t="shared" si="9"/>
        <v>1650</v>
      </c>
      <c r="Q27" s="38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">
      <c r="A28" s="3"/>
      <c r="B28" s="1" t="s">
        <v>89</v>
      </c>
      <c r="D28" s="6"/>
      <c r="E28" s="6"/>
      <c r="F28" s="6"/>
      <c r="G28" s="6"/>
      <c r="H28" s="6">
        <v>500</v>
      </c>
      <c r="I28" s="6"/>
      <c r="J28" s="6"/>
      <c r="K28" s="6"/>
      <c r="L28" s="6">
        <v>500</v>
      </c>
      <c r="M28" s="6"/>
      <c r="N28" s="6"/>
      <c r="O28" s="6"/>
      <c r="P28" s="31">
        <f t="shared" si="9"/>
        <v>1000</v>
      </c>
      <c r="Q28" s="38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">
      <c r="A29" s="3"/>
      <c r="B29" s="1" t="s">
        <v>129</v>
      </c>
      <c r="D29" s="6"/>
      <c r="E29" s="6"/>
      <c r="F29" s="6"/>
      <c r="G29" s="6"/>
      <c r="H29" s="6"/>
      <c r="I29" s="6">
        <v>500</v>
      </c>
      <c r="J29" s="6"/>
      <c r="K29" s="6"/>
      <c r="L29" s="6"/>
      <c r="M29" s="6"/>
      <c r="N29" s="6"/>
      <c r="O29" s="6">
        <v>500</v>
      </c>
      <c r="P29" s="31">
        <f t="shared" si="9"/>
        <v>1000</v>
      </c>
      <c r="Q29" s="38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">
      <c r="A30" s="3"/>
      <c r="B30" s="1" t="s">
        <v>60</v>
      </c>
      <c r="D30" s="6"/>
      <c r="E30" s="6">
        <v>50</v>
      </c>
      <c r="F30" s="6">
        <f>+E30</f>
        <v>50</v>
      </c>
      <c r="G30" s="6">
        <f t="shared" ref="G30:O30" si="11">+F30</f>
        <v>50</v>
      </c>
      <c r="H30" s="6">
        <f t="shared" si="11"/>
        <v>50</v>
      </c>
      <c r="I30" s="6">
        <f t="shared" si="11"/>
        <v>50</v>
      </c>
      <c r="J30" s="6">
        <f t="shared" si="11"/>
        <v>50</v>
      </c>
      <c r="K30" s="6">
        <f t="shared" si="11"/>
        <v>50</v>
      </c>
      <c r="L30" s="6">
        <f t="shared" si="11"/>
        <v>50</v>
      </c>
      <c r="M30" s="6">
        <f t="shared" si="11"/>
        <v>50</v>
      </c>
      <c r="N30" s="6">
        <f t="shared" si="11"/>
        <v>50</v>
      </c>
      <c r="O30" s="6">
        <f t="shared" si="11"/>
        <v>50</v>
      </c>
      <c r="P30" s="31">
        <f t="shared" si="9"/>
        <v>550</v>
      </c>
      <c r="Q30" s="38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">
      <c r="A31" s="60" t="s">
        <v>130</v>
      </c>
      <c r="B31" s="64"/>
      <c r="C31" s="64"/>
      <c r="D31" s="65">
        <f>SUM(D25:D30)</f>
        <v>90</v>
      </c>
      <c r="E31" s="65">
        <f t="shared" ref="E31:AC31" si="12">SUM(E25:E30)</f>
        <v>230</v>
      </c>
      <c r="F31" s="65">
        <f t="shared" si="12"/>
        <v>230</v>
      </c>
      <c r="G31" s="65">
        <f t="shared" si="12"/>
        <v>480</v>
      </c>
      <c r="H31" s="65">
        <f t="shared" si="12"/>
        <v>730</v>
      </c>
      <c r="I31" s="65">
        <f t="shared" si="12"/>
        <v>730</v>
      </c>
      <c r="J31" s="65">
        <f t="shared" si="12"/>
        <v>480</v>
      </c>
      <c r="K31" s="65">
        <f t="shared" si="12"/>
        <v>230</v>
      </c>
      <c r="L31" s="65">
        <f t="shared" si="12"/>
        <v>730</v>
      </c>
      <c r="M31" s="65">
        <f t="shared" si="12"/>
        <v>480</v>
      </c>
      <c r="N31" s="65">
        <f t="shared" si="12"/>
        <v>230</v>
      </c>
      <c r="O31" s="65">
        <f t="shared" si="12"/>
        <v>730</v>
      </c>
      <c r="P31" s="69">
        <f t="shared" si="12"/>
        <v>5370</v>
      </c>
      <c r="Q31" s="6">
        <f t="shared" si="12"/>
        <v>0</v>
      </c>
      <c r="R31" s="6">
        <f t="shared" si="12"/>
        <v>0</v>
      </c>
      <c r="S31" s="6">
        <f t="shared" si="12"/>
        <v>0</v>
      </c>
      <c r="T31" s="6">
        <f t="shared" si="12"/>
        <v>0</v>
      </c>
      <c r="U31" s="6">
        <f t="shared" si="12"/>
        <v>0</v>
      </c>
      <c r="V31" s="6">
        <f t="shared" si="12"/>
        <v>0</v>
      </c>
      <c r="W31" s="6">
        <f t="shared" si="12"/>
        <v>0</v>
      </c>
      <c r="X31" s="6">
        <f t="shared" si="12"/>
        <v>0</v>
      </c>
      <c r="Y31" s="6">
        <f t="shared" si="12"/>
        <v>0</v>
      </c>
      <c r="Z31" s="6">
        <f t="shared" si="12"/>
        <v>0</v>
      </c>
      <c r="AA31" s="6">
        <f t="shared" si="12"/>
        <v>0</v>
      </c>
      <c r="AB31" s="6">
        <f t="shared" si="12"/>
        <v>0</v>
      </c>
      <c r="AC31" s="6">
        <f t="shared" si="12"/>
        <v>0</v>
      </c>
    </row>
    <row r="32" spans="1:29" x14ac:dyDescent="0.2">
      <c r="A32" s="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31"/>
      <c r="Q32" s="38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">
      <c r="A33" s="83" t="s">
        <v>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31"/>
      <c r="Q33" s="38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">
      <c r="A34" s="3"/>
      <c r="B34" s="1" t="s">
        <v>122</v>
      </c>
      <c r="C34" s="1" t="s">
        <v>131</v>
      </c>
      <c r="D34" s="6">
        <v>75</v>
      </c>
      <c r="E34" s="6">
        <v>75</v>
      </c>
      <c r="F34" s="6">
        <f>+E34</f>
        <v>75</v>
      </c>
      <c r="G34" s="6">
        <f t="shared" ref="G34:O34" si="13">+F34</f>
        <v>75</v>
      </c>
      <c r="H34" s="6">
        <f t="shared" si="13"/>
        <v>75</v>
      </c>
      <c r="I34" s="6">
        <f t="shared" si="13"/>
        <v>75</v>
      </c>
      <c r="J34" s="6">
        <f t="shared" si="13"/>
        <v>75</v>
      </c>
      <c r="K34" s="6">
        <f t="shared" si="13"/>
        <v>75</v>
      </c>
      <c r="L34" s="6">
        <f t="shared" si="13"/>
        <v>75</v>
      </c>
      <c r="M34" s="6">
        <f t="shared" si="13"/>
        <v>75</v>
      </c>
      <c r="N34" s="6">
        <f t="shared" si="13"/>
        <v>75</v>
      </c>
      <c r="O34" s="6">
        <f t="shared" si="13"/>
        <v>75</v>
      </c>
      <c r="P34" s="31">
        <f t="shared" si="9"/>
        <v>900</v>
      </c>
      <c r="Q34" s="38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2">
      <c r="A35" s="3"/>
      <c r="B35" s="1" t="s">
        <v>132</v>
      </c>
      <c r="D35" s="1">
        <v>90</v>
      </c>
      <c r="E35" s="6">
        <v>766</v>
      </c>
      <c r="F35" s="6"/>
      <c r="G35" s="6">
        <f t="shared" ref="G35:O35" si="14">+F35</f>
        <v>0</v>
      </c>
      <c r="H35" s="6">
        <f t="shared" si="14"/>
        <v>0</v>
      </c>
      <c r="I35" s="6">
        <f t="shared" si="14"/>
        <v>0</v>
      </c>
      <c r="J35" s="6">
        <f t="shared" si="14"/>
        <v>0</v>
      </c>
      <c r="K35" s="6">
        <f t="shared" si="14"/>
        <v>0</v>
      </c>
      <c r="L35" s="6">
        <f t="shared" si="14"/>
        <v>0</v>
      </c>
      <c r="M35" s="6">
        <f t="shared" si="14"/>
        <v>0</v>
      </c>
      <c r="N35" s="6">
        <f t="shared" si="14"/>
        <v>0</v>
      </c>
      <c r="O35" s="6">
        <f t="shared" si="14"/>
        <v>0</v>
      </c>
      <c r="P35" s="31">
        <f t="shared" si="9"/>
        <v>856</v>
      </c>
      <c r="Q35" s="38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2">
      <c r="A36" s="3"/>
      <c r="B36" s="1" t="s">
        <v>139</v>
      </c>
      <c r="D36" s="1">
        <f>27*16</f>
        <v>432</v>
      </c>
      <c r="E36" s="6">
        <v>50</v>
      </c>
      <c r="F36" s="6">
        <v>50</v>
      </c>
      <c r="G36" s="6">
        <v>50</v>
      </c>
      <c r="H36" s="6">
        <v>50</v>
      </c>
      <c r="I36" s="6">
        <v>50</v>
      </c>
      <c r="J36" s="6">
        <v>50</v>
      </c>
      <c r="K36" s="6">
        <v>50</v>
      </c>
      <c r="L36" s="6">
        <v>50</v>
      </c>
      <c r="M36" s="6">
        <v>50</v>
      </c>
      <c r="N36" s="6">
        <v>50</v>
      </c>
      <c r="O36" s="6">
        <v>50</v>
      </c>
      <c r="P36" s="31">
        <f t="shared" si="9"/>
        <v>982</v>
      </c>
      <c r="Q36" s="38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2">
      <c r="A37" s="3"/>
      <c r="B37" s="1" t="s">
        <v>84</v>
      </c>
      <c r="D37" s="6">
        <v>100</v>
      </c>
      <c r="E37" s="6">
        <v>100</v>
      </c>
      <c r="F37" s="6">
        <f>+E37</f>
        <v>100</v>
      </c>
      <c r="G37" s="6">
        <f t="shared" ref="G37:O37" si="15">+F37</f>
        <v>100</v>
      </c>
      <c r="H37" s="6">
        <f t="shared" si="15"/>
        <v>100</v>
      </c>
      <c r="I37" s="6">
        <f t="shared" si="15"/>
        <v>100</v>
      </c>
      <c r="J37" s="6">
        <f t="shared" si="15"/>
        <v>100</v>
      </c>
      <c r="K37" s="6">
        <f t="shared" si="15"/>
        <v>100</v>
      </c>
      <c r="L37" s="6">
        <f t="shared" si="15"/>
        <v>100</v>
      </c>
      <c r="M37" s="6">
        <f t="shared" si="15"/>
        <v>100</v>
      </c>
      <c r="N37" s="6">
        <f t="shared" si="15"/>
        <v>100</v>
      </c>
      <c r="O37" s="6">
        <f t="shared" si="15"/>
        <v>100</v>
      </c>
      <c r="P37" s="31">
        <f t="shared" si="9"/>
        <v>1200</v>
      </c>
      <c r="Q37" s="38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x14ac:dyDescent="0.2">
      <c r="A38" s="60" t="s">
        <v>133</v>
      </c>
      <c r="B38" s="64"/>
      <c r="C38" s="64"/>
      <c r="D38" s="65">
        <f>SUM(D34:D37)</f>
        <v>697</v>
      </c>
      <c r="E38" s="65">
        <f>SUM(E34:E37)</f>
        <v>991</v>
      </c>
      <c r="F38" s="65">
        <f>SUM(F34:F37)</f>
        <v>225</v>
      </c>
      <c r="G38" s="65">
        <f>SUM(G34:G37)</f>
        <v>225</v>
      </c>
      <c r="H38" s="65">
        <f>SUM(H34:H37)</f>
        <v>225</v>
      </c>
      <c r="I38" s="65">
        <f>SUM(I34:I37)</f>
        <v>225</v>
      </c>
      <c r="J38" s="65">
        <f>SUM(J34:J37)</f>
        <v>225</v>
      </c>
      <c r="K38" s="65">
        <f>SUM(K34:K37)</f>
        <v>225</v>
      </c>
      <c r="L38" s="65">
        <f>SUM(L34:L37)</f>
        <v>225</v>
      </c>
      <c r="M38" s="65">
        <f>SUM(M34:M37)</f>
        <v>225</v>
      </c>
      <c r="N38" s="65">
        <f>SUM(N34:N37)</f>
        <v>225</v>
      </c>
      <c r="O38" s="65">
        <f>SUM(O34:O37)</f>
        <v>225</v>
      </c>
      <c r="P38" s="69">
        <f>SUM(P34:P37)</f>
        <v>3938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x14ac:dyDescent="0.2">
      <c r="A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31"/>
      <c r="Q39" s="38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x14ac:dyDescent="0.2">
      <c r="A40" s="83" t="s">
        <v>134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31"/>
      <c r="Q40" s="38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3.5" customHeight="1" x14ac:dyDescent="0.2">
      <c r="B41" s="1" t="s">
        <v>27</v>
      </c>
      <c r="D41" s="6">
        <v>1200</v>
      </c>
      <c r="E41" s="6">
        <v>2400</v>
      </c>
      <c r="F41" s="6">
        <f t="shared" ref="F41:O41" si="16">+E41</f>
        <v>2400</v>
      </c>
      <c r="G41" s="6">
        <f t="shared" si="16"/>
        <v>2400</v>
      </c>
      <c r="H41" s="6">
        <f t="shared" si="16"/>
        <v>2400</v>
      </c>
      <c r="I41" s="6">
        <f t="shared" si="16"/>
        <v>2400</v>
      </c>
      <c r="J41" s="6">
        <f t="shared" si="16"/>
        <v>2400</v>
      </c>
      <c r="K41" s="6">
        <f t="shared" si="16"/>
        <v>2400</v>
      </c>
      <c r="L41" s="6">
        <f t="shared" si="16"/>
        <v>2400</v>
      </c>
      <c r="M41" s="6">
        <f t="shared" si="16"/>
        <v>2400</v>
      </c>
      <c r="N41" s="6">
        <f t="shared" si="16"/>
        <v>2400</v>
      </c>
      <c r="O41" s="6">
        <f t="shared" si="16"/>
        <v>2400</v>
      </c>
      <c r="P41" s="31">
        <f t="shared" si="9"/>
        <v>27600</v>
      </c>
      <c r="Q41" s="38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idden="1" x14ac:dyDescent="0.2">
      <c r="B42" s="1" t="s">
        <v>28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31">
        <f t="shared" si="9"/>
        <v>0</v>
      </c>
      <c r="Q42" s="3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x14ac:dyDescent="0.2">
      <c r="B43" s="1" t="s">
        <v>147</v>
      </c>
      <c r="D43" s="6"/>
      <c r="E43" s="6">
        <v>80</v>
      </c>
      <c r="F43" s="6"/>
      <c r="G43" s="6">
        <v>200</v>
      </c>
      <c r="H43" s="6"/>
      <c r="I43" s="6"/>
      <c r="J43" s="6">
        <f t="shared" ref="J43" si="17">+I43</f>
        <v>0</v>
      </c>
      <c r="K43" s="6">
        <f t="shared" ref="K43" si="18">+J43</f>
        <v>0</v>
      </c>
      <c r="L43" s="6">
        <f t="shared" ref="L43" si="19">+K43</f>
        <v>0</v>
      </c>
      <c r="M43" s="6">
        <f t="shared" ref="M43:O43" si="20">+L43</f>
        <v>0</v>
      </c>
      <c r="N43" s="6">
        <f t="shared" si="20"/>
        <v>0</v>
      </c>
      <c r="O43" s="6">
        <f t="shared" si="20"/>
        <v>0</v>
      </c>
      <c r="P43" s="31">
        <f>SUM(D43:O43)</f>
        <v>280</v>
      </c>
      <c r="Q43" s="38">
        <v>1</v>
      </c>
      <c r="R43" s="6">
        <f>+O43</f>
        <v>0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x14ac:dyDescent="0.2">
      <c r="B44" s="1" t="s">
        <v>98</v>
      </c>
      <c r="D44" s="6">
        <v>0</v>
      </c>
      <c r="E44" s="6">
        <v>50</v>
      </c>
      <c r="F44" s="6">
        <f t="shared" ref="F44:O44" si="21">+E44</f>
        <v>50</v>
      </c>
      <c r="G44" s="6">
        <f t="shared" si="21"/>
        <v>50</v>
      </c>
      <c r="H44" s="6">
        <f t="shared" si="21"/>
        <v>50</v>
      </c>
      <c r="I44" s="6">
        <f t="shared" si="21"/>
        <v>50</v>
      </c>
      <c r="J44" s="6">
        <f t="shared" si="21"/>
        <v>50</v>
      </c>
      <c r="K44" s="6">
        <f t="shared" si="21"/>
        <v>50</v>
      </c>
      <c r="L44" s="6">
        <f t="shared" si="21"/>
        <v>50</v>
      </c>
      <c r="M44" s="6">
        <f t="shared" si="21"/>
        <v>50</v>
      </c>
      <c r="N44" s="6">
        <f t="shared" si="21"/>
        <v>50</v>
      </c>
      <c r="O44" s="6">
        <f t="shared" si="21"/>
        <v>50</v>
      </c>
      <c r="P44" s="31">
        <f>SUM(D44:O44)</f>
        <v>550</v>
      </c>
      <c r="Q44" s="38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x14ac:dyDescent="0.2">
      <c r="B45" s="1" t="s">
        <v>29</v>
      </c>
      <c r="D45" s="6">
        <v>100</v>
      </c>
      <c r="E45" s="6">
        <f>+D45</f>
        <v>100</v>
      </c>
      <c r="F45" s="6">
        <f t="shared" ref="F45:O45" si="22">+E45</f>
        <v>100</v>
      </c>
      <c r="G45" s="6">
        <f t="shared" si="22"/>
        <v>100</v>
      </c>
      <c r="H45" s="6">
        <f t="shared" si="22"/>
        <v>100</v>
      </c>
      <c r="I45" s="6">
        <f t="shared" si="22"/>
        <v>100</v>
      </c>
      <c r="J45" s="6">
        <f t="shared" si="22"/>
        <v>100</v>
      </c>
      <c r="K45" s="6">
        <f t="shared" si="22"/>
        <v>100</v>
      </c>
      <c r="L45" s="6">
        <f t="shared" si="22"/>
        <v>100</v>
      </c>
      <c r="M45" s="6">
        <f t="shared" si="22"/>
        <v>100</v>
      </c>
      <c r="N45" s="6">
        <f t="shared" si="22"/>
        <v>100</v>
      </c>
      <c r="O45" s="6">
        <f t="shared" si="22"/>
        <v>100</v>
      </c>
      <c r="P45" s="31">
        <f t="shared" si="9"/>
        <v>1200</v>
      </c>
      <c r="Q45" s="38">
        <v>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x14ac:dyDescent="0.2">
      <c r="B46" s="1" t="s">
        <v>90</v>
      </c>
      <c r="D46" s="6"/>
      <c r="E46" s="6">
        <v>300</v>
      </c>
      <c r="F46" s="6"/>
      <c r="G46" s="6"/>
      <c r="H46" s="6">
        <v>300</v>
      </c>
      <c r="I46" s="6"/>
      <c r="J46" s="6"/>
      <c r="K46" s="6">
        <v>300</v>
      </c>
      <c r="L46" s="6"/>
      <c r="M46" s="6"/>
      <c r="N46" s="6"/>
      <c r="O46" s="6">
        <v>300</v>
      </c>
      <c r="P46" s="31">
        <f>SUM(D46:O46)</f>
        <v>1200</v>
      </c>
      <c r="Q46" s="38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x14ac:dyDescent="0.2">
      <c r="B47" s="1" t="s">
        <v>100</v>
      </c>
      <c r="D47" s="6">
        <v>1000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31">
        <f>SUM(D47:O47)</f>
        <v>1000</v>
      </c>
      <c r="Q47" s="38">
        <v>1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x14ac:dyDescent="0.2">
      <c r="B48" s="1" t="s">
        <v>148</v>
      </c>
      <c r="D48" s="6">
        <f>0.029*(D9+D10)</f>
        <v>384.25</v>
      </c>
      <c r="E48" s="6">
        <f>0.019*(E9+E10)+6</f>
        <v>48.75</v>
      </c>
      <c r="F48" s="6">
        <f t="shared" ref="F48:O48" si="23">0.019*(F9+F10)+6</f>
        <v>48.75</v>
      </c>
      <c r="G48" s="6">
        <f t="shared" si="23"/>
        <v>29.75</v>
      </c>
      <c r="H48" s="6">
        <f t="shared" si="23"/>
        <v>29.75</v>
      </c>
      <c r="I48" s="6">
        <f t="shared" si="23"/>
        <v>29.75</v>
      </c>
      <c r="J48" s="6">
        <f t="shared" si="23"/>
        <v>29.75</v>
      </c>
      <c r="K48" s="6">
        <f t="shared" si="23"/>
        <v>29.75</v>
      </c>
      <c r="L48" s="6">
        <f t="shared" si="23"/>
        <v>29.75</v>
      </c>
      <c r="M48" s="6">
        <f t="shared" si="23"/>
        <v>29.75</v>
      </c>
      <c r="N48" s="6">
        <f t="shared" si="23"/>
        <v>29.75</v>
      </c>
      <c r="O48" s="6">
        <f t="shared" si="23"/>
        <v>29.75</v>
      </c>
      <c r="P48" s="31">
        <f>SUM(D48:O48)</f>
        <v>749.5</v>
      </c>
      <c r="Q48" s="38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">
      <c r="A49" s="71" t="s">
        <v>140</v>
      </c>
      <c r="B49" s="60"/>
      <c r="C49" s="60"/>
      <c r="D49" s="72">
        <f>SUM(D41:D48)</f>
        <v>2684.25</v>
      </c>
      <c r="E49" s="72">
        <f t="shared" ref="E49:O49" si="24">SUM(E41:E48)</f>
        <v>2978.75</v>
      </c>
      <c r="F49" s="72">
        <f t="shared" si="24"/>
        <v>2598.75</v>
      </c>
      <c r="G49" s="72">
        <f t="shared" si="24"/>
        <v>2779.75</v>
      </c>
      <c r="H49" s="72">
        <f t="shared" si="24"/>
        <v>2879.75</v>
      </c>
      <c r="I49" s="72">
        <f t="shared" si="24"/>
        <v>2579.75</v>
      </c>
      <c r="J49" s="72">
        <f t="shared" si="24"/>
        <v>2579.75</v>
      </c>
      <c r="K49" s="72">
        <f t="shared" si="24"/>
        <v>2879.75</v>
      </c>
      <c r="L49" s="72">
        <f t="shared" si="24"/>
        <v>2579.75</v>
      </c>
      <c r="M49" s="72">
        <f t="shared" si="24"/>
        <v>2579.75</v>
      </c>
      <c r="N49" s="72">
        <f t="shared" si="24"/>
        <v>2579.75</v>
      </c>
      <c r="O49" s="72">
        <f t="shared" si="24"/>
        <v>2879.75</v>
      </c>
      <c r="P49" s="73">
        <f>SUM(P41:P48)</f>
        <v>32579.5</v>
      </c>
      <c r="Q49" s="38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31">
        <f t="shared" ref="P50:P51" si="25">SUM(D50:O50)</f>
        <v>0</v>
      </c>
      <c r="Q50" s="38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idden="1" x14ac:dyDescent="0.2">
      <c r="A51" s="1" t="s">
        <v>107</v>
      </c>
      <c r="D51" s="7"/>
      <c r="E51" s="7">
        <f>+D51</f>
        <v>0</v>
      </c>
      <c r="F51" s="7">
        <f t="shared" ref="F51:O51" si="26">+E51</f>
        <v>0</v>
      </c>
      <c r="G51" s="7">
        <f t="shared" si="26"/>
        <v>0</v>
      </c>
      <c r="H51" s="7">
        <f t="shared" si="26"/>
        <v>0</v>
      </c>
      <c r="I51" s="7">
        <f t="shared" si="26"/>
        <v>0</v>
      </c>
      <c r="J51" s="7">
        <f t="shared" si="26"/>
        <v>0</v>
      </c>
      <c r="K51" s="7">
        <f t="shared" si="26"/>
        <v>0</v>
      </c>
      <c r="L51" s="7">
        <f t="shared" si="26"/>
        <v>0</v>
      </c>
      <c r="M51" s="7">
        <f t="shared" si="26"/>
        <v>0</v>
      </c>
      <c r="N51" s="7">
        <f t="shared" si="26"/>
        <v>0</v>
      </c>
      <c r="O51" s="7">
        <f t="shared" si="26"/>
        <v>0</v>
      </c>
      <c r="P51" s="32">
        <f t="shared" si="25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3.5" thickBot="1" x14ac:dyDescent="0.25"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1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15.75" thickBot="1" x14ac:dyDescent="0.3">
      <c r="A53" s="41" t="s">
        <v>36</v>
      </c>
      <c r="B53" s="42"/>
      <c r="C53" s="42"/>
      <c r="D53" s="43">
        <f>+D49+D38+D31+D22</f>
        <v>3471.25</v>
      </c>
      <c r="E53" s="43">
        <f>+E49+E38+E31+E22</f>
        <v>4249.75</v>
      </c>
      <c r="F53" s="43">
        <f>+F49+F38+F31+F22</f>
        <v>3153.75</v>
      </c>
      <c r="G53" s="43">
        <f>+G49+G38+G31+G22</f>
        <v>3584.75</v>
      </c>
      <c r="H53" s="43">
        <f>+H49+H38+H31+H22</f>
        <v>3934.75</v>
      </c>
      <c r="I53" s="43">
        <f>+I49+I38+I31+I22</f>
        <v>3634.75</v>
      </c>
      <c r="J53" s="43">
        <f>+J49+J38+J31+J22</f>
        <v>3384.75</v>
      </c>
      <c r="K53" s="43">
        <f>+K49+K38+K31+K22</f>
        <v>3434.75</v>
      </c>
      <c r="L53" s="43">
        <f>+L49+L38+L31+L22</f>
        <v>3634.75</v>
      </c>
      <c r="M53" s="43">
        <f>+M49+M38+M31+M22</f>
        <v>3384.75</v>
      </c>
      <c r="N53" s="43">
        <f>+N49+N38+N31+N22</f>
        <v>3134.75</v>
      </c>
      <c r="O53" s="43">
        <f>+O49+O38+O31+O22</f>
        <v>3934.75</v>
      </c>
      <c r="P53" s="44">
        <f>SUM(D53:O53)</f>
        <v>42937.5</v>
      </c>
      <c r="Q53" s="47"/>
      <c r="R53" s="10">
        <f t="shared" ref="R53:AC53" si="27">SUM(R41:R51)</f>
        <v>0</v>
      </c>
      <c r="S53" s="10">
        <f t="shared" si="27"/>
        <v>0</v>
      </c>
      <c r="T53" s="10">
        <f t="shared" si="27"/>
        <v>0</v>
      </c>
      <c r="U53" s="10">
        <f t="shared" si="27"/>
        <v>0</v>
      </c>
      <c r="V53" s="10">
        <f t="shared" si="27"/>
        <v>0</v>
      </c>
      <c r="W53" s="10">
        <f t="shared" si="27"/>
        <v>0</v>
      </c>
      <c r="X53" s="10">
        <f t="shared" si="27"/>
        <v>0</v>
      </c>
      <c r="Y53" s="10">
        <f t="shared" si="27"/>
        <v>0</v>
      </c>
      <c r="Z53" s="10">
        <f t="shared" si="27"/>
        <v>0</v>
      </c>
      <c r="AA53" s="10">
        <f t="shared" si="27"/>
        <v>0</v>
      </c>
      <c r="AB53" s="10">
        <f t="shared" si="27"/>
        <v>0</v>
      </c>
      <c r="AC53" s="10">
        <f t="shared" si="27"/>
        <v>0</v>
      </c>
    </row>
    <row r="54" spans="1:29" x14ac:dyDescent="0.2">
      <c r="A54" s="15"/>
      <c r="B54" s="15"/>
      <c r="C54" s="1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34">
        <f t="shared" si="9"/>
        <v>0</v>
      </c>
      <c r="Q54" s="48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3.5" thickBot="1" x14ac:dyDescent="0.25">
      <c r="A55" s="74"/>
      <c r="B55" s="74" t="s">
        <v>141</v>
      </c>
      <c r="C55" s="74"/>
      <c r="D55" s="75">
        <f>+D14-D53</f>
        <v>9778.75</v>
      </c>
      <c r="E55" s="75">
        <f>+E14-E53</f>
        <v>-1999.75</v>
      </c>
      <c r="F55" s="75">
        <f>+F14-F53</f>
        <v>-903.75</v>
      </c>
      <c r="G55" s="75">
        <f>+G14-G53</f>
        <v>2065.25</v>
      </c>
      <c r="H55" s="75">
        <f>+H14-H53</f>
        <v>-1584.75</v>
      </c>
      <c r="I55" s="75">
        <f>+I14-I53</f>
        <v>2615.25</v>
      </c>
      <c r="J55" s="75">
        <f>+J14-J53</f>
        <v>-1034.75</v>
      </c>
      <c r="K55" s="75">
        <f>+K14-K53</f>
        <v>-2084.75</v>
      </c>
      <c r="L55" s="75">
        <f>+L14-L53</f>
        <v>-1284.75</v>
      </c>
      <c r="M55" s="75">
        <f>+M14-M53</f>
        <v>3865.25</v>
      </c>
      <c r="N55" s="75">
        <f>+N14-N53</f>
        <v>-784.75</v>
      </c>
      <c r="O55" s="75">
        <f>+O14-O53</f>
        <v>-1584.75</v>
      </c>
      <c r="P55" s="76">
        <f t="shared" si="9"/>
        <v>7062.5</v>
      </c>
      <c r="Q55" s="48"/>
      <c r="R55" s="25">
        <f>+R14-R53</f>
        <v>0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3.5" thickTop="1" x14ac:dyDescent="0.2">
      <c r="A56" s="15"/>
      <c r="B56" s="15"/>
      <c r="C56" s="1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34">
        <f t="shared" si="9"/>
        <v>0</v>
      </c>
      <c r="Q56" s="48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idden="1" x14ac:dyDescent="0.2">
      <c r="A57" s="3" t="s">
        <v>37</v>
      </c>
      <c r="B57" s="3"/>
      <c r="C57" s="3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35">
        <f t="shared" si="9"/>
        <v>0</v>
      </c>
      <c r="Q57" s="49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idden="1" x14ac:dyDescent="0.2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31">
        <f t="shared" si="9"/>
        <v>0</v>
      </c>
      <c r="Q58" s="38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idden="1" x14ac:dyDescent="0.2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31">
        <f t="shared" si="9"/>
        <v>0</v>
      </c>
      <c r="Q59" s="38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idden="1" x14ac:dyDescent="0.2"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31">
        <f t="shared" si="9"/>
        <v>0</v>
      </c>
      <c r="Q60" s="38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idden="1" x14ac:dyDescent="0.2"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31">
        <f t="shared" si="9"/>
        <v>0</v>
      </c>
      <c r="Q61" s="38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idden="1" x14ac:dyDescent="0.2"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31">
        <f t="shared" si="9"/>
        <v>0</v>
      </c>
      <c r="Q62" s="38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idden="1" x14ac:dyDescent="0.2"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32">
        <f t="shared" si="9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idden="1" x14ac:dyDescent="0.2">
      <c r="A64" s="27"/>
      <c r="B64" s="15"/>
      <c r="C64" s="15"/>
      <c r="D64" s="10">
        <f t="shared" ref="D64:AC64" si="28">SUM(D58:D63)</f>
        <v>0</v>
      </c>
      <c r="E64" s="10">
        <f t="shared" si="28"/>
        <v>0</v>
      </c>
      <c r="F64" s="10">
        <f t="shared" si="28"/>
        <v>0</v>
      </c>
      <c r="G64" s="10">
        <f t="shared" si="28"/>
        <v>0</v>
      </c>
      <c r="H64" s="10">
        <f t="shared" si="28"/>
        <v>0</v>
      </c>
      <c r="I64" s="10">
        <f t="shared" si="28"/>
        <v>0</v>
      </c>
      <c r="J64" s="10">
        <f t="shared" si="28"/>
        <v>0</v>
      </c>
      <c r="K64" s="10">
        <f t="shared" si="28"/>
        <v>0</v>
      </c>
      <c r="L64" s="10">
        <f t="shared" si="28"/>
        <v>0</v>
      </c>
      <c r="M64" s="10">
        <f t="shared" si="28"/>
        <v>0</v>
      </c>
      <c r="N64" s="10">
        <f t="shared" si="28"/>
        <v>0</v>
      </c>
      <c r="O64" s="10">
        <f t="shared" si="28"/>
        <v>0</v>
      </c>
      <c r="P64" s="33">
        <f t="shared" si="9"/>
        <v>0</v>
      </c>
      <c r="Q64" s="46"/>
      <c r="R64" s="10">
        <f t="shared" si="28"/>
        <v>0</v>
      </c>
      <c r="S64" s="10">
        <f t="shared" si="28"/>
        <v>0</v>
      </c>
      <c r="T64" s="10">
        <f t="shared" si="28"/>
        <v>0</v>
      </c>
      <c r="U64" s="10">
        <f t="shared" si="28"/>
        <v>0</v>
      </c>
      <c r="V64" s="10">
        <f t="shared" si="28"/>
        <v>0</v>
      </c>
      <c r="W64" s="10">
        <f t="shared" si="28"/>
        <v>0</v>
      </c>
      <c r="X64" s="10">
        <f t="shared" si="28"/>
        <v>0</v>
      </c>
      <c r="Y64" s="10">
        <f t="shared" si="28"/>
        <v>0</v>
      </c>
      <c r="Z64" s="10">
        <f t="shared" si="28"/>
        <v>0</v>
      </c>
      <c r="AA64" s="10">
        <f t="shared" si="28"/>
        <v>0</v>
      </c>
      <c r="AB64" s="10">
        <f t="shared" si="28"/>
        <v>0</v>
      </c>
      <c r="AC64" s="10">
        <f t="shared" si="28"/>
        <v>0</v>
      </c>
    </row>
    <row r="65" spans="1:30" hidden="1" x14ac:dyDescent="0.2">
      <c r="A65" s="3" t="s">
        <v>40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31">
        <f t="shared" si="9"/>
        <v>0</v>
      </c>
      <c r="Q65" s="38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30" hidden="1" x14ac:dyDescent="0.2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31">
        <f t="shared" si="9"/>
        <v>0</v>
      </c>
      <c r="Q66" s="38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30" hidden="1" x14ac:dyDescent="0.2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31">
        <f t="shared" si="9"/>
        <v>0</v>
      </c>
      <c r="Q67" s="38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30" hidden="1" x14ac:dyDescent="0.2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31">
        <f t="shared" si="9"/>
        <v>0</v>
      </c>
      <c r="Q68" s="38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30" hidden="1" x14ac:dyDescent="0.2"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32">
        <f t="shared" si="9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30" hidden="1" x14ac:dyDescent="0.2">
      <c r="A70" s="27" t="s">
        <v>44</v>
      </c>
      <c r="B70" s="15"/>
      <c r="C70" s="15"/>
      <c r="D70" s="10">
        <f>SUM(D66:D69)</f>
        <v>0</v>
      </c>
      <c r="E70" s="10">
        <f t="shared" ref="E70:AC70" si="29">SUM(E66:E69)</f>
        <v>0</v>
      </c>
      <c r="F70" s="10">
        <f t="shared" si="29"/>
        <v>0</v>
      </c>
      <c r="G70" s="10">
        <f t="shared" si="29"/>
        <v>0</v>
      </c>
      <c r="H70" s="10">
        <f t="shared" si="29"/>
        <v>0</v>
      </c>
      <c r="I70" s="10">
        <f t="shared" si="29"/>
        <v>0</v>
      </c>
      <c r="J70" s="10">
        <f t="shared" si="29"/>
        <v>0</v>
      </c>
      <c r="K70" s="10">
        <f t="shared" si="29"/>
        <v>0</v>
      </c>
      <c r="L70" s="10">
        <f t="shared" si="29"/>
        <v>0</v>
      </c>
      <c r="M70" s="10">
        <f t="shared" si="29"/>
        <v>0</v>
      </c>
      <c r="N70" s="10">
        <f t="shared" si="29"/>
        <v>0</v>
      </c>
      <c r="O70" s="10">
        <f t="shared" si="29"/>
        <v>0</v>
      </c>
      <c r="P70" s="33">
        <f t="shared" si="9"/>
        <v>0</v>
      </c>
      <c r="Q70" s="46"/>
      <c r="R70" s="10">
        <f t="shared" si="29"/>
        <v>0</v>
      </c>
      <c r="S70" s="10">
        <f t="shared" si="29"/>
        <v>0</v>
      </c>
      <c r="T70" s="10">
        <f t="shared" si="29"/>
        <v>0</v>
      </c>
      <c r="U70" s="10">
        <f t="shared" si="29"/>
        <v>0</v>
      </c>
      <c r="V70" s="10">
        <f t="shared" si="29"/>
        <v>0</v>
      </c>
      <c r="W70" s="10">
        <f t="shared" si="29"/>
        <v>0</v>
      </c>
      <c r="X70" s="10">
        <f t="shared" si="29"/>
        <v>0</v>
      </c>
      <c r="Y70" s="10">
        <f t="shared" si="29"/>
        <v>0</v>
      </c>
      <c r="Z70" s="10">
        <f t="shared" si="29"/>
        <v>0</v>
      </c>
      <c r="AA70" s="10">
        <f t="shared" si="29"/>
        <v>0</v>
      </c>
      <c r="AB70" s="10">
        <f t="shared" si="29"/>
        <v>0</v>
      </c>
      <c r="AC70" s="10">
        <f t="shared" si="29"/>
        <v>0</v>
      </c>
    </row>
    <row r="71" spans="1:30" x14ac:dyDescent="0.2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31">
        <f t="shared" si="9"/>
        <v>0</v>
      </c>
      <c r="Q71" s="38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30" x14ac:dyDescent="0.2">
      <c r="C72" s="1" t="s">
        <v>45</v>
      </c>
      <c r="D72" s="11">
        <f>D14-D53-D64+D70</f>
        <v>9778.75</v>
      </c>
      <c r="E72" s="11">
        <f>E14-E53-E64+E70</f>
        <v>-1999.75</v>
      </c>
      <c r="F72" s="11">
        <f>F14-F53-F64+F70</f>
        <v>-903.75</v>
      </c>
      <c r="G72" s="11">
        <f>G14-G53-G64+G70</f>
        <v>2065.25</v>
      </c>
      <c r="H72" s="11">
        <f>H14-H53-H64+H70</f>
        <v>-1584.75</v>
      </c>
      <c r="I72" s="11">
        <f>I14-I53-I64+I70</f>
        <v>2615.25</v>
      </c>
      <c r="J72" s="11">
        <f>J14-J53-J64+J70</f>
        <v>-1034.75</v>
      </c>
      <c r="K72" s="11">
        <f>K14-K53-K64+K70</f>
        <v>-2084.75</v>
      </c>
      <c r="L72" s="11">
        <f>L14-L53-L64+L70</f>
        <v>-1284.75</v>
      </c>
      <c r="M72" s="11">
        <f>M14-M53-M64+M70</f>
        <v>3865.25</v>
      </c>
      <c r="N72" s="11">
        <f>N14-N53-N64+N70</f>
        <v>-784.75</v>
      </c>
      <c r="O72" s="11">
        <f>O14-O53-O64+O70</f>
        <v>-1584.75</v>
      </c>
      <c r="P72" s="36">
        <f t="shared" si="9"/>
        <v>7062.5</v>
      </c>
      <c r="Q72" s="50"/>
      <c r="R72" s="11">
        <f>R14-R53-R64+R70</f>
        <v>0</v>
      </c>
      <c r="S72" s="11" t="e">
        <f>S14-S53-S64+S70</f>
        <v>#REF!</v>
      </c>
      <c r="T72" s="11" t="e">
        <f>T14-T53-T64+T70</f>
        <v>#REF!</v>
      </c>
      <c r="U72" s="11" t="e">
        <f>U14-U53-U64+U70</f>
        <v>#REF!</v>
      </c>
      <c r="V72" s="11" t="e">
        <f>V14-V53-V64+V70</f>
        <v>#REF!</v>
      </c>
      <c r="W72" s="11" t="e">
        <f>W14-W53-W64+W70</f>
        <v>#REF!</v>
      </c>
      <c r="X72" s="11" t="e">
        <f>X14-X53-X64+X70</f>
        <v>#REF!</v>
      </c>
      <c r="Y72" s="11" t="e">
        <f>Y14-Y53-Y64+Y70</f>
        <v>#REF!</v>
      </c>
      <c r="Z72" s="11" t="e">
        <f>Z14-Z53-Z64+Z70</f>
        <v>#REF!</v>
      </c>
      <c r="AA72" s="11" t="e">
        <f>AA14-AA53-AA64+AA70</f>
        <v>#REF!</v>
      </c>
      <c r="AB72" s="11" t="e">
        <f>AB14-AB53-AB64+AB70</f>
        <v>#REF!</v>
      </c>
      <c r="AC72" s="11" t="e">
        <f>AC14-AC53-AC64+AC70</f>
        <v>#REF!</v>
      </c>
    </row>
    <row r="73" spans="1:30" x14ac:dyDescent="0.2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31">
        <f t="shared" si="9"/>
        <v>0</v>
      </c>
      <c r="Q73" s="38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30" ht="13.5" thickBot="1" x14ac:dyDescent="0.25">
      <c r="C74" s="15" t="s">
        <v>46</v>
      </c>
      <c r="D74" s="12">
        <f>D6+D72</f>
        <v>9778.75</v>
      </c>
      <c r="E74" s="12">
        <f>E6+E72</f>
        <v>7779</v>
      </c>
      <c r="F74" s="12">
        <f>F6+F72</f>
        <v>6875.25</v>
      </c>
      <c r="G74" s="12">
        <f>G6+G72</f>
        <v>8940.5</v>
      </c>
      <c r="H74" s="12">
        <f>H6+H72</f>
        <v>7355.75</v>
      </c>
      <c r="I74" s="12">
        <f>I6+I72</f>
        <v>9971</v>
      </c>
      <c r="J74" s="12">
        <f>J6+J72</f>
        <v>8936.25</v>
      </c>
      <c r="K74" s="12">
        <f>K6+K72</f>
        <v>6851.5</v>
      </c>
      <c r="L74" s="12">
        <f>L6+L72</f>
        <v>5566.75</v>
      </c>
      <c r="M74" s="12">
        <f>M6+M72</f>
        <v>9432</v>
      </c>
      <c r="N74" s="12">
        <f>N6+N72</f>
        <v>8647.25</v>
      </c>
      <c r="O74" s="12">
        <f>O6+O72</f>
        <v>7062.5</v>
      </c>
      <c r="P74" s="37"/>
      <c r="Q74" s="51"/>
      <c r="R74" s="12">
        <f>R6+R72</f>
        <v>7062.5</v>
      </c>
      <c r="S74" s="12" t="e">
        <f>S6+S72</f>
        <v>#REF!</v>
      </c>
      <c r="T74" s="12" t="e">
        <f>T6+T72</f>
        <v>#REF!</v>
      </c>
      <c r="U74" s="12" t="e">
        <f>U6+U72</f>
        <v>#REF!</v>
      </c>
      <c r="V74" s="12" t="e">
        <f>V6+V72</f>
        <v>#REF!</v>
      </c>
      <c r="W74" s="12" t="e">
        <f>W6+W72</f>
        <v>#REF!</v>
      </c>
      <c r="X74" s="12" t="e">
        <f>X6+X72</f>
        <v>#REF!</v>
      </c>
      <c r="Y74" s="12" t="e">
        <f>Y6+Y72</f>
        <v>#REF!</v>
      </c>
      <c r="Z74" s="12" t="e">
        <f>Z6+Z72</f>
        <v>#REF!</v>
      </c>
      <c r="AA74" s="12" t="e">
        <f>AA6+AA72</f>
        <v>#REF!</v>
      </c>
      <c r="AB74" s="12" t="e">
        <f>AB6+AB72</f>
        <v>#REF!</v>
      </c>
      <c r="AC74" s="12" t="e">
        <f>AC6+AC72</f>
        <v>#REF!</v>
      </c>
    </row>
    <row r="75" spans="1:30" ht="13.5" thickTop="1" x14ac:dyDescent="0.2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30" ht="13.5" hidden="1" thickBot="1" x14ac:dyDescent="0.25">
      <c r="B76" s="15" t="s">
        <v>47</v>
      </c>
      <c r="C76" s="19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30" x14ac:dyDescent="0.2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30" x14ac:dyDescent="0.2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"/>
      <c r="R78" s="4">
        <f>R14-R53</f>
        <v>0</v>
      </c>
      <c r="S78" s="4" t="e">
        <f>S14-S53</f>
        <v>#REF!</v>
      </c>
      <c r="T78" s="4" t="e">
        <f>T14-T53</f>
        <v>#REF!</v>
      </c>
      <c r="U78" s="4" t="e">
        <f>U14-U53</f>
        <v>#REF!</v>
      </c>
      <c r="V78" s="4" t="e">
        <f>V14-V53</f>
        <v>#REF!</v>
      </c>
      <c r="W78" s="4" t="e">
        <f>W14-W53</f>
        <v>#REF!</v>
      </c>
      <c r="X78" s="4" t="e">
        <f>X14-X53</f>
        <v>#REF!</v>
      </c>
      <c r="Y78" s="4" t="e">
        <f>Y14-Y53</f>
        <v>#REF!</v>
      </c>
      <c r="Z78" s="4" t="e">
        <f>Z14-Z53</f>
        <v>#REF!</v>
      </c>
      <c r="AA78" s="4" t="e">
        <f>AA14-AA53</f>
        <v>#REF!</v>
      </c>
      <c r="AB78" s="4" t="e">
        <f>AB14-AB53</f>
        <v>#REF!</v>
      </c>
      <c r="AC78" s="4" t="e">
        <f>AC14-AC53</f>
        <v>#REF!</v>
      </c>
      <c r="AD78" s="1"/>
    </row>
    <row r="79" spans="1:30" x14ac:dyDescent="0.2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30" x14ac:dyDescent="0.2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4:23" x14ac:dyDescent="0.2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5"/>
      <c r="R81" s="4"/>
      <c r="S81" s="4"/>
      <c r="T81" s="4"/>
      <c r="U81" s="4"/>
      <c r="V81" s="4"/>
      <c r="W81" s="4"/>
    </row>
    <row r="82" spans="4:23" x14ac:dyDescent="0.2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4:23" x14ac:dyDescent="0.2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4:23" x14ac:dyDescent="0.2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4:23" x14ac:dyDescent="0.2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4:23" x14ac:dyDescent="0.2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4:23" x14ac:dyDescent="0.2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4:23" x14ac:dyDescent="0.2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4:23" x14ac:dyDescent="0.2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4:23" x14ac:dyDescent="0.2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4:23" x14ac:dyDescent="0.2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4:23" x14ac:dyDescent="0.2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4:23" x14ac:dyDescent="0.2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4:23" x14ac:dyDescent="0.2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4:23" x14ac:dyDescent="0.2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4:23" x14ac:dyDescent="0.2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4:23" x14ac:dyDescent="0.2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4:23" x14ac:dyDescent="0.2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4:23" x14ac:dyDescent="0.2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4:23" x14ac:dyDescent="0.2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4:23" x14ac:dyDescent="0.2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4:23" x14ac:dyDescent="0.2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4:23" x14ac:dyDescent="0.2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4:23" x14ac:dyDescent="0.2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4:23" x14ac:dyDescent="0.2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4:23" x14ac:dyDescent="0.2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4:23" x14ac:dyDescent="0.2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4:23" x14ac:dyDescent="0.2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4:23" x14ac:dyDescent="0.2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4:23" x14ac:dyDescent="0.2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4:23" x14ac:dyDescent="0.2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4:23" x14ac:dyDescent="0.2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4:23" x14ac:dyDescent="0.2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4:23" x14ac:dyDescent="0.2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4:23" x14ac:dyDescent="0.2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4:23" x14ac:dyDescent="0.2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4:23" x14ac:dyDescent="0.2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4:23" x14ac:dyDescent="0.2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4:23" x14ac:dyDescent="0.2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4:23" x14ac:dyDescent="0.2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4:23" x14ac:dyDescent="0.2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4:23" x14ac:dyDescent="0.2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4:23" x14ac:dyDescent="0.2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4:23" x14ac:dyDescent="0.2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4:23" x14ac:dyDescent="0.2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4:23" x14ac:dyDescent="0.2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4:23" x14ac:dyDescent="0.2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4:23" x14ac:dyDescent="0.2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4:23" x14ac:dyDescent="0.2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4:23" x14ac:dyDescent="0.2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4:23" x14ac:dyDescent="0.2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4:23" x14ac:dyDescent="0.2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4:23" x14ac:dyDescent="0.2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4:23" x14ac:dyDescent="0.2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4:23" x14ac:dyDescent="0.2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4:23" x14ac:dyDescent="0.2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4:23" x14ac:dyDescent="0.2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4:23" x14ac:dyDescent="0.2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4:23" x14ac:dyDescent="0.2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4:23" x14ac:dyDescent="0.2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4:23" x14ac:dyDescent="0.2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4:23" x14ac:dyDescent="0.2"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4:23" x14ac:dyDescent="0.2"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4:23" x14ac:dyDescent="0.2"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4:22" x14ac:dyDescent="0.2"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4:22" x14ac:dyDescent="0.2"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4:22" x14ac:dyDescent="0.2"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4:22" x14ac:dyDescent="0.2"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4:22" x14ac:dyDescent="0.2"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4:22" x14ac:dyDescent="0.2"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4:22" x14ac:dyDescent="0.2"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4:22" x14ac:dyDescent="0.2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4:22" x14ac:dyDescent="0.2"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4:22" x14ac:dyDescent="0.2"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4:22" x14ac:dyDescent="0.2"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4:22" x14ac:dyDescent="0.2"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4:22" x14ac:dyDescent="0.2"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4:22" x14ac:dyDescent="0.2"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4:22" x14ac:dyDescent="0.2"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4:22" x14ac:dyDescent="0.2"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4:22" x14ac:dyDescent="0.2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4:22" x14ac:dyDescent="0.2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4:22" x14ac:dyDescent="0.2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4:22" x14ac:dyDescent="0.2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4:22" x14ac:dyDescent="0.2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4:22" x14ac:dyDescent="0.2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4:22" x14ac:dyDescent="0.2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4:22" x14ac:dyDescent="0.2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4:22" x14ac:dyDescent="0.2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4:22" x14ac:dyDescent="0.2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4:22" x14ac:dyDescent="0.2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4:22" x14ac:dyDescent="0.2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4:22" x14ac:dyDescent="0.2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4:22" x14ac:dyDescent="0.2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4:22" x14ac:dyDescent="0.2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4:22" x14ac:dyDescent="0.2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4:22" x14ac:dyDescent="0.2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4:22" x14ac:dyDescent="0.2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4:22" x14ac:dyDescent="0.2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4:22" x14ac:dyDescent="0.2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4:22" x14ac:dyDescent="0.2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4:22" x14ac:dyDescent="0.2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4:22" x14ac:dyDescent="0.2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4:22" x14ac:dyDescent="0.2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4:22" x14ac:dyDescent="0.2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4:22" x14ac:dyDescent="0.2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4:22" x14ac:dyDescent="0.2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4:22" x14ac:dyDescent="0.2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4:22" x14ac:dyDescent="0.2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4:22" x14ac:dyDescent="0.2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4:22" x14ac:dyDescent="0.2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4:22" x14ac:dyDescent="0.2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4:22" x14ac:dyDescent="0.2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4:22" x14ac:dyDescent="0.2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4:22" x14ac:dyDescent="0.2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4:22" x14ac:dyDescent="0.2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4:22" x14ac:dyDescent="0.2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4:22" x14ac:dyDescent="0.2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4:22" x14ac:dyDescent="0.2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4:22" x14ac:dyDescent="0.2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4:22" x14ac:dyDescent="0.2"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4:22" x14ac:dyDescent="0.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4:22" x14ac:dyDescent="0.2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</sheetData>
  <phoneticPr fontId="12" type="noConversion"/>
  <conditionalFormatting sqref="D74:AC74">
    <cfRule type="cellIs" dxfId="1" priority="1" operator="lessThan">
      <formula>$C$76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D88E-015C-48EF-99B7-E4A5F090A4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781C-FDD2-4FA5-9E9E-D0DBEB322AF2}">
  <dimension ref="A3:K11"/>
  <sheetViews>
    <sheetView workbookViewId="0">
      <selection activeCell="E13" sqref="E13"/>
    </sheetView>
  </sheetViews>
  <sheetFormatPr defaultRowHeight="15" x14ac:dyDescent="0.25"/>
  <cols>
    <col min="11" max="11" width="87.28515625" customWidth="1"/>
  </cols>
  <sheetData>
    <row r="3" spans="1:11" s="53" customFormat="1" ht="12" x14ac:dyDescent="0.2">
      <c r="A3" s="53" t="s">
        <v>116</v>
      </c>
      <c r="K3" s="57" t="s">
        <v>117</v>
      </c>
    </row>
    <row r="4" spans="1:11" s="53" customFormat="1" ht="12" x14ac:dyDescent="0.2"/>
    <row r="5" spans="1:11" s="53" customFormat="1" ht="24" x14ac:dyDescent="0.2">
      <c r="K5" s="57" t="s">
        <v>118</v>
      </c>
    </row>
    <row r="6" spans="1:11" s="53" customFormat="1" ht="12" x14ac:dyDescent="0.2"/>
    <row r="7" spans="1:11" s="53" customFormat="1" ht="24" x14ac:dyDescent="0.2">
      <c r="K7" s="57" t="s">
        <v>119</v>
      </c>
    </row>
    <row r="8" spans="1:11" s="53" customFormat="1" ht="12" x14ac:dyDescent="0.2"/>
    <row r="9" spans="1:11" s="53" customFormat="1" ht="12" x14ac:dyDescent="0.2">
      <c r="K9" s="57" t="s">
        <v>120</v>
      </c>
    </row>
    <row r="10" spans="1:11" s="53" customFormat="1" ht="12" x14ac:dyDescent="0.2"/>
    <row r="11" spans="1:11" s="53" customFormat="1" ht="12" x14ac:dyDescent="0.2">
      <c r="K11" s="57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DAE2-90DC-43D1-86C0-4CA2CFD97B7F}">
  <dimension ref="A2:P7"/>
  <sheetViews>
    <sheetView workbookViewId="0">
      <selection activeCell="B7" sqref="B7"/>
    </sheetView>
  </sheetViews>
  <sheetFormatPr defaultRowHeight="15" x14ac:dyDescent="0.25"/>
  <cols>
    <col min="1" max="1" width="13.7109375" customWidth="1"/>
    <col min="15" max="15" width="6.85546875" customWidth="1"/>
    <col min="16" max="16" width="49.85546875" style="54" customWidth="1"/>
  </cols>
  <sheetData>
    <row r="2" spans="1:16" ht="27" x14ac:dyDescent="0.3">
      <c r="A2" s="52" t="s">
        <v>108</v>
      </c>
      <c r="B2" s="2">
        <v>45955</v>
      </c>
      <c r="C2" s="2">
        <f>+B2+31</f>
        <v>45986</v>
      </c>
      <c r="D2" s="2">
        <f t="shared" ref="D2:L2" si="0">+C2+30</f>
        <v>46016</v>
      </c>
      <c r="E2" s="2">
        <f t="shared" si="0"/>
        <v>46046</v>
      </c>
      <c r="F2" s="2">
        <f t="shared" si="0"/>
        <v>46076</v>
      </c>
      <c r="G2" s="2">
        <f t="shared" si="0"/>
        <v>46106</v>
      </c>
      <c r="H2" s="2">
        <f t="shared" si="0"/>
        <v>46136</v>
      </c>
      <c r="I2" s="2">
        <f>+H2+31</f>
        <v>46167</v>
      </c>
      <c r="J2" s="2">
        <f t="shared" si="0"/>
        <v>46197</v>
      </c>
      <c r="K2" s="2">
        <f>+J2+31</f>
        <v>46228</v>
      </c>
      <c r="L2" s="2">
        <f t="shared" si="0"/>
        <v>46258</v>
      </c>
      <c r="M2" s="2">
        <f>+L2+31</f>
        <v>46289</v>
      </c>
      <c r="N2" s="28" t="s">
        <v>96</v>
      </c>
      <c r="O2" s="56" t="s">
        <v>113</v>
      </c>
    </row>
    <row r="4" spans="1:16" ht="21" x14ac:dyDescent="0.25">
      <c r="A4" t="s">
        <v>111</v>
      </c>
      <c r="B4">
        <v>90</v>
      </c>
      <c r="C4">
        <v>30</v>
      </c>
      <c r="D4">
        <f>+C4</f>
        <v>30</v>
      </c>
      <c r="E4">
        <f t="shared" ref="E4:M4" si="1">+D4</f>
        <v>30</v>
      </c>
      <c r="F4">
        <f t="shared" si="1"/>
        <v>30</v>
      </c>
      <c r="G4">
        <f t="shared" si="1"/>
        <v>30</v>
      </c>
      <c r="H4">
        <f t="shared" si="1"/>
        <v>30</v>
      </c>
      <c r="I4">
        <f t="shared" si="1"/>
        <v>30</v>
      </c>
      <c r="J4">
        <f t="shared" si="1"/>
        <v>30</v>
      </c>
      <c r="K4">
        <f t="shared" si="1"/>
        <v>30</v>
      </c>
      <c r="L4">
        <f t="shared" si="1"/>
        <v>30</v>
      </c>
      <c r="M4">
        <f t="shared" si="1"/>
        <v>30</v>
      </c>
      <c r="N4">
        <f>SUM(B4:M4)</f>
        <v>420</v>
      </c>
      <c r="P4" s="55" t="s">
        <v>114</v>
      </c>
    </row>
    <row r="5" spans="1:16" ht="21" x14ac:dyDescent="0.25">
      <c r="A5" t="s">
        <v>115</v>
      </c>
      <c r="B5">
        <f>18*10</f>
        <v>180</v>
      </c>
      <c r="C5">
        <f>18*25</f>
        <v>450</v>
      </c>
      <c r="E5">
        <f t="shared" ref="E5:M5" si="2">+D5</f>
        <v>0</v>
      </c>
      <c r="F5">
        <f t="shared" si="2"/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>SUM(B5:M5)</f>
        <v>630</v>
      </c>
      <c r="O5">
        <v>10</v>
      </c>
      <c r="P5" s="55" t="s">
        <v>109</v>
      </c>
    </row>
    <row r="6" spans="1:16" x14ac:dyDescent="0.25">
      <c r="A6" t="s">
        <v>112</v>
      </c>
      <c r="B6">
        <v>40</v>
      </c>
      <c r="C6">
        <v>40</v>
      </c>
      <c r="D6">
        <v>24</v>
      </c>
      <c r="E6">
        <f>+D6</f>
        <v>24</v>
      </c>
      <c r="F6">
        <f t="shared" ref="F6:M6" si="3">+E6</f>
        <v>24</v>
      </c>
      <c r="G6">
        <f t="shared" si="3"/>
        <v>24</v>
      </c>
      <c r="H6">
        <f t="shared" si="3"/>
        <v>24</v>
      </c>
      <c r="I6">
        <f t="shared" si="3"/>
        <v>24</v>
      </c>
      <c r="J6">
        <f t="shared" si="3"/>
        <v>24</v>
      </c>
      <c r="K6">
        <f t="shared" si="3"/>
        <v>24</v>
      </c>
      <c r="L6">
        <f t="shared" si="3"/>
        <v>24</v>
      </c>
      <c r="M6">
        <f t="shared" si="3"/>
        <v>24</v>
      </c>
      <c r="N6">
        <f>SUM(B6:M6)</f>
        <v>320</v>
      </c>
      <c r="O6">
        <v>2</v>
      </c>
      <c r="P6" s="55" t="s">
        <v>110</v>
      </c>
    </row>
    <row r="7" spans="1:16" x14ac:dyDescent="0.25">
      <c r="B7">
        <f>SUM(B4:B6)</f>
        <v>310</v>
      </c>
      <c r="C7">
        <f t="shared" ref="C7:N7" si="4">SUM(C4:C6)</f>
        <v>520</v>
      </c>
      <c r="D7">
        <f t="shared" si="4"/>
        <v>54</v>
      </c>
      <c r="E7">
        <f t="shared" si="4"/>
        <v>54</v>
      </c>
      <c r="F7">
        <f t="shared" si="4"/>
        <v>54</v>
      </c>
      <c r="G7">
        <f t="shared" si="4"/>
        <v>54</v>
      </c>
      <c r="H7">
        <f t="shared" si="4"/>
        <v>54</v>
      </c>
      <c r="I7">
        <f t="shared" si="4"/>
        <v>54</v>
      </c>
      <c r="J7">
        <f t="shared" si="4"/>
        <v>54</v>
      </c>
      <c r="K7">
        <f t="shared" si="4"/>
        <v>54</v>
      </c>
      <c r="L7">
        <f t="shared" si="4"/>
        <v>54</v>
      </c>
      <c r="M7">
        <f t="shared" si="4"/>
        <v>54</v>
      </c>
      <c r="N7">
        <f t="shared" si="4"/>
        <v>1370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B8CF-6708-4729-8600-E9D3873A19A3}">
  <dimension ref="A2:C33"/>
  <sheetViews>
    <sheetView topLeftCell="A19" workbookViewId="0">
      <selection activeCell="E27" sqref="E27"/>
    </sheetView>
  </sheetViews>
  <sheetFormatPr defaultRowHeight="15" x14ac:dyDescent="0.25"/>
  <sheetData>
    <row r="2" spans="1:2" x14ac:dyDescent="0.25">
      <c r="A2" s="58"/>
      <c r="B2" s="58"/>
    </row>
    <row r="3" spans="1:2" x14ac:dyDescent="0.25">
      <c r="A3" s="58"/>
      <c r="B3" s="58"/>
    </row>
    <row r="4" spans="1:2" x14ac:dyDescent="0.25">
      <c r="A4" s="58"/>
      <c r="B4" s="58"/>
    </row>
    <row r="5" spans="1:2" x14ac:dyDescent="0.25">
      <c r="A5" s="58"/>
      <c r="B5" s="58"/>
    </row>
    <row r="6" spans="1:2" x14ac:dyDescent="0.25">
      <c r="A6" s="58"/>
      <c r="B6" s="58"/>
    </row>
    <row r="7" spans="1:2" x14ac:dyDescent="0.25">
      <c r="A7" s="58"/>
      <c r="B7" s="58"/>
    </row>
    <row r="8" spans="1:2" x14ac:dyDescent="0.25">
      <c r="A8" s="58"/>
      <c r="B8" s="58"/>
    </row>
    <row r="9" spans="1:2" x14ac:dyDescent="0.25">
      <c r="A9" s="58"/>
      <c r="B9" s="58"/>
    </row>
    <row r="10" spans="1:2" x14ac:dyDescent="0.25">
      <c r="A10" s="58"/>
      <c r="B10" s="58"/>
    </row>
    <row r="11" spans="1:2" x14ac:dyDescent="0.25">
      <c r="A11" s="58"/>
      <c r="B11" s="58"/>
    </row>
    <row r="12" spans="1:2" x14ac:dyDescent="0.25">
      <c r="A12" s="58"/>
      <c r="B12" s="58"/>
    </row>
    <row r="13" spans="1:2" x14ac:dyDescent="0.25">
      <c r="A13" s="58"/>
      <c r="B13" s="58"/>
    </row>
    <row r="19" spans="1:3" x14ac:dyDescent="0.25">
      <c r="A19" s="40" t="s">
        <v>123</v>
      </c>
      <c r="B19" s="39"/>
      <c r="C19" s="39"/>
    </row>
    <row r="20" spans="1:3" x14ac:dyDescent="0.25">
      <c r="A20" s="40"/>
      <c r="B20" s="39" t="s">
        <v>92</v>
      </c>
      <c r="C20" s="39"/>
    </row>
    <row r="21" spans="1:3" x14ac:dyDescent="0.25">
      <c r="A21" s="40"/>
      <c r="B21" s="39" t="s">
        <v>93</v>
      </c>
      <c r="C21" s="39"/>
    </row>
    <row r="22" spans="1:3" x14ac:dyDescent="0.25">
      <c r="A22" s="40"/>
      <c r="B22" s="39" t="s">
        <v>94</v>
      </c>
      <c r="C22" s="39"/>
    </row>
    <row r="23" spans="1:3" x14ac:dyDescent="0.25">
      <c r="A23" s="40"/>
      <c r="B23" s="39"/>
      <c r="C23" s="39"/>
    </row>
    <row r="24" spans="1:3" x14ac:dyDescent="0.25">
      <c r="A24" s="40" t="s">
        <v>91</v>
      </c>
      <c r="B24" s="40"/>
      <c r="C24" s="39"/>
    </row>
    <row r="25" spans="1:3" x14ac:dyDescent="0.25">
      <c r="A25" s="39"/>
      <c r="B25" s="39" t="s">
        <v>102</v>
      </c>
      <c r="C25" s="39"/>
    </row>
    <row r="26" spans="1:3" x14ac:dyDescent="0.25">
      <c r="A26" s="40"/>
      <c r="B26" s="39" t="s">
        <v>103</v>
      </c>
      <c r="C26" s="39"/>
    </row>
    <row r="27" spans="1:3" x14ac:dyDescent="0.25">
      <c r="A27" s="40"/>
      <c r="B27" s="39" t="s">
        <v>104</v>
      </c>
      <c r="C27" s="39"/>
    </row>
    <row r="28" spans="1:3" x14ac:dyDescent="0.25">
      <c r="A28" s="40"/>
      <c r="B28" s="39" t="s">
        <v>101</v>
      </c>
      <c r="C28" s="39"/>
    </row>
    <row r="29" spans="1:3" x14ac:dyDescent="0.25">
      <c r="A29" s="40"/>
      <c r="B29" s="39"/>
      <c r="C29" s="39"/>
    </row>
    <row r="30" spans="1:3" x14ac:dyDescent="0.25">
      <c r="A30" s="40"/>
      <c r="B30" s="39"/>
      <c r="C30" s="39"/>
    </row>
    <row r="31" spans="1:3" x14ac:dyDescent="0.25">
      <c r="A31" s="40" t="s">
        <v>95</v>
      </c>
      <c r="B31" s="39"/>
      <c r="C31" s="39"/>
    </row>
    <row r="32" spans="1:3" x14ac:dyDescent="0.25">
      <c r="A32" s="40"/>
      <c r="B32" s="39" t="s">
        <v>105</v>
      </c>
      <c r="C32" s="39"/>
    </row>
    <row r="33" spans="1:3" x14ac:dyDescent="0.25">
      <c r="A33" s="40"/>
      <c r="B33" s="39" t="s">
        <v>106</v>
      </c>
      <c r="C33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1D85-F0D4-49DF-973E-84474C2AC4C1}">
  <dimension ref="A1:AA187"/>
  <sheetViews>
    <sheetView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9" sqref="G19"/>
    </sheetView>
  </sheetViews>
  <sheetFormatPr defaultColWidth="9.140625" defaultRowHeight="12.75" x14ac:dyDescent="0.2"/>
  <cols>
    <col min="1" max="1" width="9.140625" style="1"/>
    <col min="2" max="2" width="13.42578125" style="1" customWidth="1"/>
    <col min="3" max="3" width="20.42578125" style="1" customWidth="1"/>
    <col min="4" max="4" width="9.42578125" style="1" bestFit="1" customWidth="1"/>
    <col min="5" max="8" width="8.85546875" style="1" customWidth="1"/>
    <col min="9" max="16384" width="9.140625" style="1"/>
  </cols>
  <sheetData>
    <row r="1" spans="1:27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27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27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27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27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27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27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27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27" x14ac:dyDescent="0.2">
      <c r="D9" s="81">
        <v>2024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77">
        <v>2025</v>
      </c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</row>
    <row r="10" spans="1:27" x14ac:dyDescent="0.2">
      <c r="C10" s="8" t="s">
        <v>19</v>
      </c>
      <c r="D10" s="2">
        <v>45292</v>
      </c>
      <c r="E10" s="2">
        <v>45323</v>
      </c>
      <c r="F10" s="2">
        <v>45352</v>
      </c>
      <c r="G10" s="2">
        <v>45383</v>
      </c>
      <c r="H10" s="2">
        <v>45413</v>
      </c>
      <c r="I10" s="2">
        <v>45444</v>
      </c>
      <c r="J10" s="2">
        <v>45474</v>
      </c>
      <c r="K10" s="2">
        <v>45505</v>
      </c>
      <c r="L10" s="2">
        <v>45536</v>
      </c>
      <c r="M10" s="2">
        <v>45566</v>
      </c>
      <c r="N10" s="2">
        <v>45597</v>
      </c>
      <c r="O10" s="2">
        <v>45627</v>
      </c>
      <c r="P10" s="2">
        <v>45658</v>
      </c>
      <c r="Q10" s="2">
        <v>45689</v>
      </c>
      <c r="R10" s="2">
        <v>45717</v>
      </c>
      <c r="S10" s="2">
        <v>45748</v>
      </c>
      <c r="T10" s="2">
        <v>45778</v>
      </c>
      <c r="U10" s="2">
        <v>45809</v>
      </c>
      <c r="V10" s="2">
        <v>45839</v>
      </c>
      <c r="W10" s="2">
        <v>45870</v>
      </c>
      <c r="X10" s="2">
        <v>45901</v>
      </c>
      <c r="Y10" s="2">
        <v>45931</v>
      </c>
      <c r="Z10" s="2">
        <v>45962</v>
      </c>
      <c r="AA10" s="2">
        <v>45992</v>
      </c>
    </row>
    <row r="11" spans="1:27" x14ac:dyDescent="0.2">
      <c r="A11" s="80" t="s">
        <v>20</v>
      </c>
      <c r="B11" s="80"/>
      <c r="C11" s="80"/>
      <c r="D11" s="13"/>
      <c r="E11" s="14">
        <f t="shared" ref="E11:Q11" si="0">D59</f>
        <v>0</v>
      </c>
      <c r="F11" s="14">
        <f t="shared" si="0"/>
        <v>0</v>
      </c>
      <c r="G11" s="14">
        <f t="shared" si="0"/>
        <v>0</v>
      </c>
      <c r="H11" s="14">
        <f t="shared" si="0"/>
        <v>0</v>
      </c>
      <c r="I11" s="14">
        <f t="shared" si="0"/>
        <v>0</v>
      </c>
      <c r="J11" s="14">
        <f t="shared" si="0"/>
        <v>0</v>
      </c>
      <c r="K11" s="14">
        <f t="shared" si="0"/>
        <v>0</v>
      </c>
      <c r="L11" s="14">
        <f t="shared" si="0"/>
        <v>0</v>
      </c>
      <c r="M11" s="14">
        <f t="shared" si="0"/>
        <v>0</v>
      </c>
      <c r="N11" s="14">
        <f t="shared" si="0"/>
        <v>0</v>
      </c>
      <c r="O11" s="14">
        <f t="shared" si="0"/>
        <v>0</v>
      </c>
      <c r="P11" s="14">
        <f t="shared" si="0"/>
        <v>0</v>
      </c>
      <c r="Q11" s="14">
        <f t="shared" si="0"/>
        <v>0</v>
      </c>
      <c r="R11" s="14">
        <f t="shared" ref="R11" si="1">Q59</f>
        <v>0</v>
      </c>
      <c r="S11" s="14">
        <f t="shared" ref="S11" si="2">R59</f>
        <v>0</v>
      </c>
      <c r="T11" s="14">
        <f t="shared" ref="T11" si="3">S59</f>
        <v>0</v>
      </c>
      <c r="U11" s="14">
        <f t="shared" ref="U11" si="4">T59</f>
        <v>0</v>
      </c>
      <c r="V11" s="14">
        <f t="shared" ref="V11" si="5">U59</f>
        <v>0</v>
      </c>
      <c r="W11" s="14">
        <f t="shared" ref="W11" si="6">V59</f>
        <v>0</v>
      </c>
      <c r="X11" s="14">
        <f t="shared" ref="X11" si="7">W59</f>
        <v>0</v>
      </c>
      <c r="Y11" s="14">
        <f t="shared" ref="Y11" si="8">X59</f>
        <v>0</v>
      </c>
      <c r="Z11" s="14">
        <f t="shared" ref="Z11" si="9">Y59</f>
        <v>0</v>
      </c>
      <c r="AA11" s="14">
        <f t="shared" ref="AA11" si="10">Z59</f>
        <v>0</v>
      </c>
    </row>
    <row r="12" spans="1:27" x14ac:dyDescent="0.2"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">
      <c r="A14" s="3" t="s">
        <v>21</v>
      </c>
      <c r="B14" s="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">
      <c r="B15" s="1" t="s">
        <v>48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">
      <c r="B16" s="1" t="s">
        <v>49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">
      <c r="B17" s="1" t="s">
        <v>50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">
      <c r="B18" s="1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">
      <c r="B19" s="1" t="s">
        <v>23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">
      <c r="B20" s="1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">
      <c r="A21" s="80" t="s">
        <v>25</v>
      </c>
      <c r="B21" s="80"/>
      <c r="C21" s="80"/>
      <c r="D21" s="10">
        <f t="shared" ref="D21:AA21" si="11">SUM(D15:D20)</f>
        <v>0</v>
      </c>
      <c r="E21" s="10">
        <f t="shared" si="11"/>
        <v>0</v>
      </c>
      <c r="F21" s="10">
        <f t="shared" si="11"/>
        <v>0</v>
      </c>
      <c r="G21" s="10">
        <f t="shared" si="11"/>
        <v>0</v>
      </c>
      <c r="H21" s="10">
        <f t="shared" si="11"/>
        <v>0</v>
      </c>
      <c r="I21" s="10">
        <f t="shared" si="11"/>
        <v>0</v>
      </c>
      <c r="J21" s="10">
        <f t="shared" si="11"/>
        <v>0</v>
      </c>
      <c r="K21" s="10">
        <f t="shared" si="11"/>
        <v>0</v>
      </c>
      <c r="L21" s="10">
        <f t="shared" si="11"/>
        <v>0</v>
      </c>
      <c r="M21" s="10">
        <f t="shared" si="11"/>
        <v>0</v>
      </c>
      <c r="N21" s="10">
        <f t="shared" si="11"/>
        <v>0</v>
      </c>
      <c r="O21" s="10">
        <f t="shared" si="11"/>
        <v>0</v>
      </c>
      <c r="P21" s="10">
        <f t="shared" si="11"/>
        <v>0</v>
      </c>
      <c r="Q21" s="10">
        <f t="shared" si="11"/>
        <v>0</v>
      </c>
      <c r="R21" s="10">
        <f t="shared" si="11"/>
        <v>0</v>
      </c>
      <c r="S21" s="10">
        <f t="shared" si="11"/>
        <v>0</v>
      </c>
      <c r="T21" s="10">
        <f t="shared" si="11"/>
        <v>0</v>
      </c>
      <c r="U21" s="10">
        <f t="shared" si="11"/>
        <v>0</v>
      </c>
      <c r="V21" s="10">
        <f t="shared" si="11"/>
        <v>0</v>
      </c>
      <c r="W21" s="10">
        <f t="shared" si="11"/>
        <v>0</v>
      </c>
      <c r="X21" s="10">
        <f t="shared" si="11"/>
        <v>0</v>
      </c>
      <c r="Y21" s="10">
        <f t="shared" si="11"/>
        <v>0</v>
      </c>
      <c r="Z21" s="10">
        <f t="shared" si="11"/>
        <v>0</v>
      </c>
      <c r="AA21" s="10">
        <f t="shared" si="11"/>
        <v>0</v>
      </c>
    </row>
    <row r="22" spans="1:27" x14ac:dyDescent="0.2">
      <c r="A22" s="3" t="s">
        <v>26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">
      <c r="B23" s="1" t="s">
        <v>51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">
      <c r="B24" s="1" t="s">
        <v>30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">
      <c r="B25" s="1" t="s">
        <v>52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">
      <c r="B26" s="1" t="s">
        <v>53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">
      <c r="B27" s="1" t="s">
        <v>54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2">
      <c r="B28" s="1" t="s">
        <v>55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">
      <c r="B29" s="1" t="s">
        <v>56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">
      <c r="B30" s="1" t="s">
        <v>57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">
      <c r="B31" s="1" t="s">
        <v>58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2">
      <c r="B32" s="1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2">
      <c r="B33" s="1" t="s">
        <v>60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">
      <c r="B34" s="1" t="s">
        <v>68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2">
      <c r="B35" s="1" t="s">
        <v>31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2">
      <c r="B36" s="1" t="s">
        <v>32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">
      <c r="B37" s="1" t="s">
        <v>33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">
      <c r="B38" s="1" t="s">
        <v>34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">
      <c r="B39" s="1" t="s">
        <v>35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">
      <c r="B40" s="1" t="s">
        <v>61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">
      <c r="A41" s="80" t="s">
        <v>36</v>
      </c>
      <c r="B41" s="80"/>
      <c r="C41" s="80"/>
      <c r="D41" s="10">
        <f t="shared" ref="D41:AA41" si="12">SUM(D23:D40)</f>
        <v>0</v>
      </c>
      <c r="E41" s="10">
        <f t="shared" si="12"/>
        <v>0</v>
      </c>
      <c r="F41" s="10">
        <f t="shared" si="12"/>
        <v>0</v>
      </c>
      <c r="G41" s="10">
        <f t="shared" si="12"/>
        <v>0</v>
      </c>
      <c r="H41" s="10">
        <f t="shared" si="12"/>
        <v>0</v>
      </c>
      <c r="I41" s="10">
        <f t="shared" si="12"/>
        <v>0</v>
      </c>
      <c r="J41" s="10">
        <f t="shared" si="12"/>
        <v>0</v>
      </c>
      <c r="K41" s="10">
        <f t="shared" si="12"/>
        <v>0</v>
      </c>
      <c r="L41" s="10">
        <f t="shared" si="12"/>
        <v>0</v>
      </c>
      <c r="M41" s="10">
        <f t="shared" si="12"/>
        <v>0</v>
      </c>
      <c r="N41" s="10">
        <f t="shared" si="12"/>
        <v>0</v>
      </c>
      <c r="O41" s="10">
        <f t="shared" si="12"/>
        <v>0</v>
      </c>
      <c r="P41" s="10">
        <f t="shared" si="12"/>
        <v>0</v>
      </c>
      <c r="Q41" s="10">
        <f t="shared" si="12"/>
        <v>0</v>
      </c>
      <c r="R41" s="10">
        <f t="shared" si="12"/>
        <v>0</v>
      </c>
      <c r="S41" s="10">
        <f t="shared" si="12"/>
        <v>0</v>
      </c>
      <c r="T41" s="10">
        <f t="shared" si="12"/>
        <v>0</v>
      </c>
      <c r="U41" s="10">
        <f t="shared" si="12"/>
        <v>0</v>
      </c>
      <c r="V41" s="10">
        <f t="shared" si="12"/>
        <v>0</v>
      </c>
      <c r="W41" s="10">
        <f t="shared" si="12"/>
        <v>0</v>
      </c>
      <c r="X41" s="10">
        <f t="shared" si="12"/>
        <v>0</v>
      </c>
      <c r="Y41" s="10">
        <f t="shared" si="12"/>
        <v>0</v>
      </c>
      <c r="Z41" s="10">
        <f t="shared" si="12"/>
        <v>0</v>
      </c>
      <c r="AA41" s="10">
        <f t="shared" si="12"/>
        <v>0</v>
      </c>
    </row>
    <row r="42" spans="1:27" x14ac:dyDescent="0.2">
      <c r="A42" s="3" t="s">
        <v>37</v>
      </c>
      <c r="B42" s="3"/>
      <c r="C42" s="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">
      <c r="B43" s="1" t="s">
        <v>62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">
      <c r="B44" s="1" t="s">
        <v>63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">
      <c r="B45" s="1" t="s">
        <v>64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">
      <c r="B46" s="1" t="s">
        <v>65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">
      <c r="B47" s="1" t="s">
        <v>66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">
      <c r="B48" s="1" t="s">
        <v>67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">
      <c r="A49" s="80" t="s">
        <v>39</v>
      </c>
      <c r="B49" s="80"/>
      <c r="C49" s="80"/>
      <c r="D49" s="10">
        <f t="shared" ref="D49:O49" si="13">SUM(D43:D48)</f>
        <v>0</v>
      </c>
      <c r="E49" s="10">
        <f t="shared" si="13"/>
        <v>0</v>
      </c>
      <c r="F49" s="10">
        <f t="shared" si="13"/>
        <v>0</v>
      </c>
      <c r="G49" s="10">
        <f t="shared" si="13"/>
        <v>0</v>
      </c>
      <c r="H49" s="10">
        <f t="shared" si="13"/>
        <v>0</v>
      </c>
      <c r="I49" s="10">
        <f t="shared" si="13"/>
        <v>0</v>
      </c>
      <c r="J49" s="10">
        <f t="shared" si="13"/>
        <v>0</v>
      </c>
      <c r="K49" s="10">
        <f t="shared" si="13"/>
        <v>0</v>
      </c>
      <c r="L49" s="10">
        <f t="shared" si="13"/>
        <v>0</v>
      </c>
      <c r="M49" s="10">
        <f t="shared" si="13"/>
        <v>0</v>
      </c>
      <c r="N49" s="10">
        <f t="shared" si="13"/>
        <v>0</v>
      </c>
      <c r="O49" s="10">
        <f t="shared" si="13"/>
        <v>0</v>
      </c>
      <c r="P49" s="10">
        <f t="shared" ref="P49:AA49" si="14">SUM(P43:P48)</f>
        <v>0</v>
      </c>
      <c r="Q49" s="10">
        <f t="shared" si="14"/>
        <v>0</v>
      </c>
      <c r="R49" s="10">
        <f t="shared" si="14"/>
        <v>0</v>
      </c>
      <c r="S49" s="10">
        <f t="shared" si="14"/>
        <v>0</v>
      </c>
      <c r="T49" s="10">
        <f t="shared" si="14"/>
        <v>0</v>
      </c>
      <c r="U49" s="10">
        <f t="shared" si="14"/>
        <v>0</v>
      </c>
      <c r="V49" s="10">
        <f t="shared" si="14"/>
        <v>0</v>
      </c>
      <c r="W49" s="10">
        <f t="shared" si="14"/>
        <v>0</v>
      </c>
      <c r="X49" s="10">
        <f t="shared" si="14"/>
        <v>0</v>
      </c>
      <c r="Y49" s="10">
        <f t="shared" si="14"/>
        <v>0</v>
      </c>
      <c r="Z49" s="10">
        <f t="shared" si="14"/>
        <v>0</v>
      </c>
      <c r="AA49" s="10">
        <f t="shared" si="14"/>
        <v>0</v>
      </c>
    </row>
    <row r="50" spans="1:27" x14ac:dyDescent="0.2">
      <c r="A50" s="3" t="s">
        <v>40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">
      <c r="B51" s="1" t="s">
        <v>41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2">
      <c r="B52" s="1" t="s">
        <v>42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">
      <c r="B53" s="1" t="s">
        <v>38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">
      <c r="B54" s="1" t="s">
        <v>43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">
      <c r="A55" s="80" t="s">
        <v>44</v>
      </c>
      <c r="B55" s="80"/>
      <c r="C55" s="80"/>
      <c r="D55" s="10">
        <f t="shared" ref="D55:O55" si="15">SUM(D51:D54)</f>
        <v>0</v>
      </c>
      <c r="E55" s="10">
        <f t="shared" si="15"/>
        <v>0</v>
      </c>
      <c r="F55" s="10">
        <f t="shared" si="15"/>
        <v>0</v>
      </c>
      <c r="G55" s="10">
        <f t="shared" si="15"/>
        <v>0</v>
      </c>
      <c r="H55" s="10">
        <f t="shared" si="15"/>
        <v>0</v>
      </c>
      <c r="I55" s="10">
        <f t="shared" si="15"/>
        <v>0</v>
      </c>
      <c r="J55" s="10">
        <f t="shared" si="15"/>
        <v>0</v>
      </c>
      <c r="K55" s="10">
        <f t="shared" si="15"/>
        <v>0</v>
      </c>
      <c r="L55" s="10">
        <f t="shared" si="15"/>
        <v>0</v>
      </c>
      <c r="M55" s="10">
        <f t="shared" si="15"/>
        <v>0</v>
      </c>
      <c r="N55" s="10">
        <f t="shared" si="15"/>
        <v>0</v>
      </c>
      <c r="O55" s="10">
        <f t="shared" si="15"/>
        <v>0</v>
      </c>
      <c r="P55" s="10">
        <f t="shared" ref="P55:AA55" si="16">SUM(P51:P54)</f>
        <v>0</v>
      </c>
      <c r="Q55" s="10">
        <f t="shared" si="16"/>
        <v>0</v>
      </c>
      <c r="R55" s="10">
        <f t="shared" si="16"/>
        <v>0</v>
      </c>
      <c r="S55" s="10">
        <f t="shared" si="16"/>
        <v>0</v>
      </c>
      <c r="T55" s="10">
        <f t="shared" si="16"/>
        <v>0</v>
      </c>
      <c r="U55" s="10">
        <f t="shared" si="16"/>
        <v>0</v>
      </c>
      <c r="V55" s="10">
        <f t="shared" si="16"/>
        <v>0</v>
      </c>
      <c r="W55" s="10">
        <f t="shared" si="16"/>
        <v>0</v>
      </c>
      <c r="X55" s="10">
        <f t="shared" si="16"/>
        <v>0</v>
      </c>
      <c r="Y55" s="10">
        <f t="shared" si="16"/>
        <v>0</v>
      </c>
      <c r="Z55" s="10">
        <f t="shared" si="16"/>
        <v>0</v>
      </c>
      <c r="AA55" s="10">
        <f t="shared" si="16"/>
        <v>0</v>
      </c>
    </row>
    <row r="56" spans="1:27" x14ac:dyDescent="0.2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">
      <c r="C57" s="1" t="s">
        <v>45</v>
      </c>
      <c r="D57" s="11">
        <f t="shared" ref="D57:AA57" si="17">D21-D41-D49+D55</f>
        <v>0</v>
      </c>
      <c r="E57" s="11">
        <f t="shared" si="17"/>
        <v>0</v>
      </c>
      <c r="F57" s="11">
        <f t="shared" si="17"/>
        <v>0</v>
      </c>
      <c r="G57" s="11">
        <f t="shared" si="17"/>
        <v>0</v>
      </c>
      <c r="H57" s="11">
        <f t="shared" si="17"/>
        <v>0</v>
      </c>
      <c r="I57" s="11">
        <f t="shared" si="17"/>
        <v>0</v>
      </c>
      <c r="J57" s="11">
        <f t="shared" si="17"/>
        <v>0</v>
      </c>
      <c r="K57" s="11">
        <f t="shared" si="17"/>
        <v>0</v>
      </c>
      <c r="L57" s="11">
        <f t="shared" si="17"/>
        <v>0</v>
      </c>
      <c r="M57" s="11">
        <f t="shared" si="17"/>
        <v>0</v>
      </c>
      <c r="N57" s="11">
        <f t="shared" si="17"/>
        <v>0</v>
      </c>
      <c r="O57" s="11">
        <f t="shared" si="17"/>
        <v>0</v>
      </c>
      <c r="P57" s="11">
        <f t="shared" si="17"/>
        <v>0</v>
      </c>
      <c r="Q57" s="11">
        <f t="shared" si="17"/>
        <v>0</v>
      </c>
      <c r="R57" s="11">
        <f t="shared" si="17"/>
        <v>0</v>
      </c>
      <c r="S57" s="11">
        <f t="shared" si="17"/>
        <v>0</v>
      </c>
      <c r="T57" s="11">
        <f t="shared" si="17"/>
        <v>0</v>
      </c>
      <c r="U57" s="11">
        <f t="shared" si="17"/>
        <v>0</v>
      </c>
      <c r="V57" s="11">
        <f t="shared" si="17"/>
        <v>0</v>
      </c>
      <c r="W57" s="11">
        <f t="shared" si="17"/>
        <v>0</v>
      </c>
      <c r="X57" s="11">
        <f t="shared" si="17"/>
        <v>0</v>
      </c>
      <c r="Y57" s="11">
        <f t="shared" si="17"/>
        <v>0</v>
      </c>
      <c r="Z57" s="11">
        <f t="shared" si="17"/>
        <v>0</v>
      </c>
      <c r="AA57" s="11">
        <f t="shared" si="17"/>
        <v>0</v>
      </c>
    </row>
    <row r="58" spans="1:27" x14ac:dyDescent="0.2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5" thickBot="1" x14ac:dyDescent="0.25">
      <c r="C59" s="15" t="s">
        <v>46</v>
      </c>
      <c r="D59" s="12">
        <f t="shared" ref="D59:AA59" si="18">D11+D57</f>
        <v>0</v>
      </c>
      <c r="E59" s="12">
        <f t="shared" si="18"/>
        <v>0</v>
      </c>
      <c r="F59" s="12">
        <f t="shared" si="18"/>
        <v>0</v>
      </c>
      <c r="G59" s="12">
        <f t="shared" si="18"/>
        <v>0</v>
      </c>
      <c r="H59" s="12">
        <f t="shared" si="18"/>
        <v>0</v>
      </c>
      <c r="I59" s="12">
        <f t="shared" si="18"/>
        <v>0</v>
      </c>
      <c r="J59" s="12">
        <f t="shared" si="18"/>
        <v>0</v>
      </c>
      <c r="K59" s="12">
        <f t="shared" si="18"/>
        <v>0</v>
      </c>
      <c r="L59" s="12">
        <f t="shared" si="18"/>
        <v>0</v>
      </c>
      <c r="M59" s="12">
        <f t="shared" si="18"/>
        <v>0</v>
      </c>
      <c r="N59" s="12">
        <f t="shared" si="18"/>
        <v>0</v>
      </c>
      <c r="O59" s="12">
        <f t="shared" si="18"/>
        <v>0</v>
      </c>
      <c r="P59" s="12">
        <f t="shared" si="18"/>
        <v>0</v>
      </c>
      <c r="Q59" s="12">
        <f t="shared" si="18"/>
        <v>0</v>
      </c>
      <c r="R59" s="12">
        <f t="shared" si="18"/>
        <v>0</v>
      </c>
      <c r="S59" s="12">
        <f t="shared" si="18"/>
        <v>0</v>
      </c>
      <c r="T59" s="12">
        <f t="shared" si="18"/>
        <v>0</v>
      </c>
      <c r="U59" s="12">
        <f t="shared" si="18"/>
        <v>0</v>
      </c>
      <c r="V59" s="12">
        <f t="shared" si="18"/>
        <v>0</v>
      </c>
      <c r="W59" s="12">
        <f t="shared" si="18"/>
        <v>0</v>
      </c>
      <c r="X59" s="12">
        <f t="shared" si="18"/>
        <v>0</v>
      </c>
      <c r="Y59" s="12">
        <f t="shared" si="18"/>
        <v>0</v>
      </c>
      <c r="Z59" s="12">
        <f t="shared" si="18"/>
        <v>0</v>
      </c>
      <c r="AA59" s="12">
        <f t="shared" si="18"/>
        <v>0</v>
      </c>
    </row>
    <row r="60" spans="1:27" ht="14.25" thickTop="1" thickBot="1" x14ac:dyDescent="0.25">
      <c r="D60" s="4"/>
      <c r="E60" s="4"/>
      <c r="F60" s="4"/>
      <c r="G60" s="4"/>
      <c r="H60" s="4"/>
      <c r="I60" s="4"/>
      <c r="P60" s="4"/>
      <c r="Q60" s="4"/>
      <c r="R60" s="4"/>
      <c r="S60" s="4"/>
      <c r="T60" s="4"/>
      <c r="U60" s="4"/>
    </row>
    <row r="61" spans="1:27" ht="13.5" thickBot="1" x14ac:dyDescent="0.25">
      <c r="B61" s="15" t="s">
        <v>47</v>
      </c>
      <c r="C61" s="19"/>
      <c r="D61" s="4"/>
      <c r="E61" s="4"/>
      <c r="F61" s="4"/>
      <c r="G61" s="4"/>
      <c r="H61" s="4"/>
      <c r="I61" s="4"/>
      <c r="P61" s="4"/>
      <c r="Q61" s="4"/>
      <c r="R61" s="4"/>
      <c r="S61" s="4"/>
      <c r="T61" s="4"/>
      <c r="U61" s="4"/>
    </row>
    <row r="62" spans="1:27" x14ac:dyDescent="0.2">
      <c r="D62" s="4"/>
      <c r="E62" s="4"/>
      <c r="F62" s="4"/>
      <c r="G62" s="4"/>
      <c r="H62" s="4"/>
      <c r="I62" s="4"/>
      <c r="P62" s="4"/>
      <c r="Q62" s="4"/>
      <c r="R62" s="4"/>
      <c r="S62" s="4"/>
      <c r="T62" s="4"/>
      <c r="U62" s="4"/>
    </row>
    <row r="63" spans="1:27" x14ac:dyDescent="0.2">
      <c r="D63" s="4"/>
      <c r="E63" s="4"/>
      <c r="F63" s="4"/>
      <c r="G63" s="4"/>
      <c r="H63" s="4"/>
      <c r="I63" s="4"/>
    </row>
    <row r="64" spans="1:27" x14ac:dyDescent="0.2">
      <c r="D64" s="4"/>
      <c r="E64" s="4"/>
      <c r="F64" s="4"/>
      <c r="G64" s="4"/>
      <c r="H64" s="4"/>
      <c r="I64" s="4"/>
    </row>
    <row r="65" spans="4:9" x14ac:dyDescent="0.2">
      <c r="D65" s="4"/>
      <c r="E65" s="4"/>
      <c r="F65" s="4"/>
      <c r="G65" s="4"/>
      <c r="H65" s="4"/>
      <c r="I65" s="4"/>
    </row>
    <row r="66" spans="4:9" x14ac:dyDescent="0.2">
      <c r="D66" s="4"/>
      <c r="E66" s="4"/>
      <c r="F66" s="4"/>
      <c r="G66" s="4"/>
      <c r="H66" s="4"/>
      <c r="I66" s="4"/>
    </row>
    <row r="67" spans="4:9" x14ac:dyDescent="0.2">
      <c r="D67" s="4"/>
      <c r="E67" s="4"/>
      <c r="F67" s="4"/>
      <c r="G67" s="4"/>
      <c r="H67" s="4"/>
      <c r="I67" s="4"/>
    </row>
    <row r="68" spans="4:9" x14ac:dyDescent="0.2">
      <c r="D68" s="4"/>
      <c r="E68" s="4"/>
      <c r="F68" s="4"/>
      <c r="G68" s="4"/>
      <c r="H68" s="4"/>
      <c r="I68" s="4"/>
    </row>
    <row r="69" spans="4:9" x14ac:dyDescent="0.2">
      <c r="D69" s="4"/>
      <c r="E69" s="4"/>
      <c r="F69" s="4"/>
      <c r="G69" s="4"/>
      <c r="H69" s="4"/>
      <c r="I69" s="4"/>
    </row>
    <row r="70" spans="4:9" x14ac:dyDescent="0.2">
      <c r="D70" s="4"/>
      <c r="E70" s="4"/>
      <c r="F70" s="4"/>
      <c r="G70" s="4"/>
      <c r="H70" s="4"/>
      <c r="I70" s="4"/>
    </row>
    <row r="71" spans="4:9" x14ac:dyDescent="0.2">
      <c r="D71" s="4"/>
      <c r="E71" s="4"/>
      <c r="F71" s="4"/>
      <c r="G71" s="4"/>
      <c r="H71" s="4"/>
      <c r="I71" s="4"/>
    </row>
    <row r="72" spans="4:9" x14ac:dyDescent="0.2">
      <c r="D72" s="4"/>
      <c r="E72" s="4"/>
      <c r="F72" s="4"/>
      <c r="G72" s="4"/>
      <c r="H72" s="4"/>
      <c r="I72" s="4"/>
    </row>
    <row r="73" spans="4:9" x14ac:dyDescent="0.2">
      <c r="D73" s="4"/>
      <c r="E73" s="4"/>
      <c r="F73" s="4"/>
      <c r="G73" s="4"/>
      <c r="H73" s="4"/>
      <c r="I73" s="4"/>
    </row>
    <row r="74" spans="4:9" x14ac:dyDescent="0.2">
      <c r="D74" s="4"/>
      <c r="E74" s="4"/>
      <c r="F74" s="4"/>
      <c r="G74" s="4"/>
      <c r="H74" s="4"/>
      <c r="I74" s="4"/>
    </row>
    <row r="75" spans="4:9" x14ac:dyDescent="0.2">
      <c r="D75" s="4"/>
      <c r="E75" s="4"/>
      <c r="F75" s="4"/>
      <c r="G75" s="4"/>
      <c r="H75" s="4"/>
      <c r="I75" s="4"/>
    </row>
    <row r="76" spans="4:9" x14ac:dyDescent="0.2">
      <c r="D76" s="4"/>
      <c r="E76" s="4"/>
      <c r="F76" s="4"/>
      <c r="G76" s="4"/>
      <c r="H76" s="4"/>
      <c r="I76" s="4"/>
    </row>
    <row r="77" spans="4:9" x14ac:dyDescent="0.2">
      <c r="D77" s="4"/>
      <c r="E77" s="4"/>
      <c r="F77" s="4"/>
      <c r="G77" s="4"/>
      <c r="H77" s="4"/>
      <c r="I77" s="4"/>
    </row>
    <row r="78" spans="4:9" x14ac:dyDescent="0.2">
      <c r="D78" s="4"/>
      <c r="E78" s="4"/>
      <c r="F78" s="4"/>
      <c r="G78" s="4"/>
      <c r="H78" s="4"/>
      <c r="I78" s="4"/>
    </row>
    <row r="79" spans="4:9" x14ac:dyDescent="0.2">
      <c r="D79" s="4"/>
      <c r="E79" s="4"/>
      <c r="F79" s="4"/>
      <c r="G79" s="4"/>
      <c r="H79" s="4"/>
      <c r="I79" s="4"/>
    </row>
    <row r="80" spans="4:9" x14ac:dyDescent="0.2">
      <c r="D80" s="4"/>
      <c r="E80" s="4"/>
      <c r="F80" s="4"/>
      <c r="G80" s="4"/>
      <c r="H80" s="4"/>
      <c r="I80" s="4"/>
    </row>
    <row r="81" spans="4:9" x14ac:dyDescent="0.2">
      <c r="D81" s="4"/>
      <c r="E81" s="4"/>
      <c r="F81" s="4"/>
      <c r="G81" s="4"/>
      <c r="H81" s="4"/>
      <c r="I81" s="4"/>
    </row>
    <row r="82" spans="4:9" x14ac:dyDescent="0.2">
      <c r="D82" s="4"/>
      <c r="E82" s="4"/>
      <c r="F82" s="4"/>
      <c r="G82" s="4"/>
      <c r="H82" s="4"/>
      <c r="I82" s="4"/>
    </row>
    <row r="83" spans="4:9" x14ac:dyDescent="0.2">
      <c r="D83" s="4"/>
      <c r="E83" s="4"/>
      <c r="F83" s="4"/>
      <c r="G83" s="4"/>
      <c r="H83" s="4"/>
      <c r="I83" s="4"/>
    </row>
    <row r="84" spans="4:9" x14ac:dyDescent="0.2">
      <c r="D84" s="4"/>
      <c r="E84" s="4"/>
      <c r="F84" s="4"/>
      <c r="G84" s="4"/>
      <c r="H84" s="4"/>
      <c r="I84" s="4"/>
    </row>
    <row r="85" spans="4:9" x14ac:dyDescent="0.2">
      <c r="D85" s="4"/>
      <c r="E85" s="4"/>
      <c r="F85" s="4"/>
      <c r="G85" s="4"/>
      <c r="H85" s="4"/>
      <c r="I85" s="4"/>
    </row>
    <row r="86" spans="4:9" x14ac:dyDescent="0.2">
      <c r="D86" s="4"/>
      <c r="E86" s="4"/>
      <c r="F86" s="4"/>
      <c r="G86" s="4"/>
      <c r="H86" s="4"/>
      <c r="I86" s="4"/>
    </row>
    <row r="87" spans="4:9" x14ac:dyDescent="0.2">
      <c r="D87" s="4"/>
      <c r="E87" s="4"/>
      <c r="F87" s="4"/>
      <c r="G87" s="4"/>
      <c r="H87" s="4"/>
      <c r="I87" s="4"/>
    </row>
    <row r="88" spans="4:9" x14ac:dyDescent="0.2">
      <c r="D88" s="4"/>
      <c r="E88" s="4"/>
      <c r="F88" s="4"/>
      <c r="G88" s="4"/>
      <c r="H88" s="4"/>
      <c r="I88" s="4"/>
    </row>
    <row r="89" spans="4:9" x14ac:dyDescent="0.2">
      <c r="D89" s="4"/>
      <c r="E89" s="4"/>
      <c r="F89" s="4"/>
      <c r="G89" s="4"/>
      <c r="H89" s="4"/>
      <c r="I89" s="4"/>
    </row>
    <row r="90" spans="4:9" x14ac:dyDescent="0.2">
      <c r="D90" s="4"/>
      <c r="E90" s="4"/>
      <c r="F90" s="4"/>
      <c r="G90" s="4"/>
      <c r="H90" s="4"/>
      <c r="I90" s="4"/>
    </row>
    <row r="91" spans="4:9" x14ac:dyDescent="0.2">
      <c r="D91" s="4"/>
      <c r="E91" s="4"/>
      <c r="F91" s="4"/>
      <c r="G91" s="4"/>
      <c r="H91" s="4"/>
      <c r="I91" s="4"/>
    </row>
    <row r="92" spans="4:9" x14ac:dyDescent="0.2">
      <c r="D92" s="4"/>
      <c r="E92" s="4"/>
      <c r="F92" s="4"/>
      <c r="G92" s="4"/>
      <c r="H92" s="4"/>
      <c r="I92" s="4"/>
    </row>
    <row r="93" spans="4:9" x14ac:dyDescent="0.2">
      <c r="D93" s="4"/>
      <c r="E93" s="4"/>
      <c r="F93" s="4"/>
      <c r="G93" s="4"/>
      <c r="H93" s="4"/>
      <c r="I93" s="4"/>
    </row>
    <row r="94" spans="4:9" x14ac:dyDescent="0.2">
      <c r="D94" s="4"/>
      <c r="E94" s="4"/>
      <c r="F94" s="4"/>
      <c r="G94" s="4"/>
      <c r="H94" s="4"/>
      <c r="I94" s="4"/>
    </row>
    <row r="95" spans="4:9" x14ac:dyDescent="0.2">
      <c r="D95" s="4"/>
      <c r="E95" s="4"/>
      <c r="F95" s="4"/>
      <c r="G95" s="4"/>
      <c r="H95" s="4"/>
      <c r="I95" s="4"/>
    </row>
    <row r="96" spans="4:9" x14ac:dyDescent="0.2">
      <c r="D96" s="4"/>
      <c r="E96" s="4"/>
      <c r="F96" s="4"/>
      <c r="G96" s="4"/>
      <c r="H96" s="4"/>
      <c r="I96" s="4"/>
    </row>
    <row r="97" spans="4:9" x14ac:dyDescent="0.2">
      <c r="D97" s="4"/>
      <c r="E97" s="4"/>
      <c r="F97" s="4"/>
      <c r="G97" s="4"/>
      <c r="H97" s="4"/>
      <c r="I97" s="4"/>
    </row>
    <row r="98" spans="4:9" x14ac:dyDescent="0.2">
      <c r="D98" s="4"/>
      <c r="E98" s="4"/>
      <c r="F98" s="4"/>
      <c r="G98" s="4"/>
      <c r="H98" s="4"/>
      <c r="I98" s="4"/>
    </row>
    <row r="99" spans="4:9" x14ac:dyDescent="0.2">
      <c r="D99" s="4"/>
      <c r="E99" s="4"/>
      <c r="F99" s="4"/>
      <c r="G99" s="4"/>
      <c r="H99" s="4"/>
      <c r="I99" s="4"/>
    </row>
    <row r="100" spans="4:9" x14ac:dyDescent="0.2">
      <c r="D100" s="4"/>
      <c r="E100" s="4"/>
      <c r="F100" s="4"/>
      <c r="G100" s="4"/>
      <c r="H100" s="4"/>
      <c r="I100" s="4"/>
    </row>
    <row r="101" spans="4:9" x14ac:dyDescent="0.2">
      <c r="D101" s="4"/>
      <c r="E101" s="4"/>
      <c r="F101" s="4"/>
      <c r="G101" s="4"/>
      <c r="H101" s="4"/>
      <c r="I101" s="4"/>
    </row>
    <row r="102" spans="4:9" x14ac:dyDescent="0.2">
      <c r="D102" s="4"/>
      <c r="E102" s="4"/>
      <c r="F102" s="4"/>
      <c r="G102" s="4"/>
      <c r="H102" s="4"/>
      <c r="I102" s="4"/>
    </row>
    <row r="103" spans="4:9" x14ac:dyDescent="0.2">
      <c r="D103" s="4"/>
      <c r="E103" s="4"/>
      <c r="F103" s="4"/>
      <c r="G103" s="4"/>
      <c r="H103" s="4"/>
      <c r="I103" s="4"/>
    </row>
    <row r="104" spans="4:9" x14ac:dyDescent="0.2">
      <c r="D104" s="4"/>
      <c r="E104" s="4"/>
      <c r="F104" s="4"/>
      <c r="G104" s="4"/>
      <c r="H104" s="4"/>
      <c r="I104" s="4"/>
    </row>
    <row r="105" spans="4:9" x14ac:dyDescent="0.2">
      <c r="D105" s="4"/>
      <c r="E105" s="4"/>
      <c r="F105" s="4"/>
      <c r="G105" s="4"/>
      <c r="H105" s="4"/>
      <c r="I105" s="4"/>
    </row>
    <row r="106" spans="4:9" x14ac:dyDescent="0.2">
      <c r="D106" s="4"/>
      <c r="E106" s="4"/>
      <c r="F106" s="4"/>
      <c r="G106" s="4"/>
      <c r="H106" s="4"/>
      <c r="I106" s="4"/>
    </row>
    <row r="107" spans="4:9" x14ac:dyDescent="0.2">
      <c r="D107" s="4"/>
      <c r="E107" s="4"/>
      <c r="F107" s="4"/>
      <c r="G107" s="4"/>
      <c r="H107" s="4"/>
      <c r="I107" s="4"/>
    </row>
    <row r="108" spans="4:9" x14ac:dyDescent="0.2">
      <c r="D108" s="4"/>
      <c r="E108" s="4"/>
      <c r="F108" s="4"/>
      <c r="G108" s="4"/>
      <c r="H108" s="4"/>
      <c r="I108" s="4"/>
    </row>
    <row r="109" spans="4:9" x14ac:dyDescent="0.2">
      <c r="D109" s="4"/>
      <c r="E109" s="4"/>
      <c r="F109" s="4"/>
      <c r="G109" s="4"/>
      <c r="H109" s="4"/>
      <c r="I109" s="4"/>
    </row>
    <row r="110" spans="4:9" x14ac:dyDescent="0.2">
      <c r="D110" s="4"/>
      <c r="E110" s="4"/>
      <c r="F110" s="4"/>
      <c r="G110" s="4"/>
      <c r="H110" s="4"/>
      <c r="I110" s="4"/>
    </row>
    <row r="111" spans="4:9" x14ac:dyDescent="0.2">
      <c r="D111" s="4"/>
      <c r="E111" s="4"/>
      <c r="F111" s="4"/>
      <c r="G111" s="4"/>
      <c r="H111" s="4"/>
      <c r="I111" s="4"/>
    </row>
    <row r="112" spans="4:9" x14ac:dyDescent="0.2">
      <c r="D112" s="4"/>
      <c r="E112" s="4"/>
      <c r="F112" s="4"/>
      <c r="G112" s="4"/>
      <c r="H112" s="4"/>
      <c r="I112" s="4"/>
    </row>
    <row r="113" spans="4:9" x14ac:dyDescent="0.2">
      <c r="D113" s="4"/>
      <c r="E113" s="4"/>
      <c r="F113" s="4"/>
      <c r="G113" s="4"/>
      <c r="H113" s="4"/>
      <c r="I113" s="4"/>
    </row>
    <row r="114" spans="4:9" x14ac:dyDescent="0.2">
      <c r="D114" s="4"/>
      <c r="E114" s="4"/>
      <c r="F114" s="4"/>
      <c r="G114" s="4"/>
      <c r="H114" s="4"/>
      <c r="I114" s="4"/>
    </row>
    <row r="115" spans="4:9" x14ac:dyDescent="0.2">
      <c r="D115" s="4"/>
      <c r="E115" s="4"/>
      <c r="F115" s="4"/>
      <c r="G115" s="4"/>
      <c r="H115" s="4"/>
      <c r="I115" s="4"/>
    </row>
    <row r="116" spans="4:9" x14ac:dyDescent="0.2">
      <c r="D116" s="4"/>
      <c r="E116" s="4"/>
      <c r="F116" s="4"/>
      <c r="G116" s="4"/>
      <c r="H116" s="4"/>
      <c r="I116" s="4"/>
    </row>
    <row r="117" spans="4:9" x14ac:dyDescent="0.2">
      <c r="D117" s="4"/>
      <c r="E117" s="4"/>
      <c r="F117" s="4"/>
      <c r="G117" s="4"/>
      <c r="H117" s="4"/>
      <c r="I117" s="4"/>
    </row>
    <row r="118" spans="4:9" x14ac:dyDescent="0.2">
      <c r="D118" s="4"/>
      <c r="E118" s="4"/>
      <c r="F118" s="4"/>
      <c r="G118" s="4"/>
      <c r="H118" s="4"/>
      <c r="I118" s="4"/>
    </row>
    <row r="119" spans="4:9" x14ac:dyDescent="0.2">
      <c r="D119" s="4"/>
      <c r="E119" s="4"/>
      <c r="F119" s="4"/>
      <c r="G119" s="4"/>
      <c r="H119" s="4"/>
      <c r="I119" s="4"/>
    </row>
    <row r="120" spans="4:9" x14ac:dyDescent="0.2">
      <c r="D120" s="4"/>
      <c r="E120" s="4"/>
      <c r="F120" s="4"/>
      <c r="G120" s="4"/>
      <c r="H120" s="4"/>
      <c r="I120" s="4"/>
    </row>
    <row r="121" spans="4:9" x14ac:dyDescent="0.2">
      <c r="D121" s="4"/>
      <c r="E121" s="4"/>
      <c r="F121" s="4"/>
      <c r="G121" s="4"/>
      <c r="H121" s="4"/>
      <c r="I121" s="4"/>
    </row>
    <row r="122" spans="4:9" x14ac:dyDescent="0.2">
      <c r="D122" s="4"/>
      <c r="E122" s="4"/>
      <c r="F122" s="4"/>
      <c r="G122" s="4"/>
      <c r="H122" s="4"/>
      <c r="I122" s="4"/>
    </row>
    <row r="123" spans="4:9" x14ac:dyDescent="0.2">
      <c r="D123" s="4"/>
      <c r="E123" s="4"/>
      <c r="F123" s="4"/>
      <c r="G123" s="4"/>
      <c r="H123" s="4"/>
      <c r="I123" s="4"/>
    </row>
    <row r="124" spans="4:9" x14ac:dyDescent="0.2">
      <c r="D124" s="4"/>
      <c r="E124" s="4"/>
      <c r="F124" s="4"/>
      <c r="G124" s="4"/>
      <c r="H124" s="4"/>
    </row>
    <row r="125" spans="4:9" x14ac:dyDescent="0.2">
      <c r="D125" s="4"/>
      <c r="E125" s="4"/>
      <c r="F125" s="4"/>
      <c r="G125" s="4"/>
      <c r="H125" s="4"/>
    </row>
    <row r="126" spans="4:9" x14ac:dyDescent="0.2">
      <c r="D126" s="4"/>
      <c r="E126" s="4"/>
      <c r="F126" s="4"/>
      <c r="G126" s="4"/>
      <c r="H126" s="4"/>
    </row>
    <row r="127" spans="4:9" x14ac:dyDescent="0.2">
      <c r="D127" s="4"/>
      <c r="E127" s="4"/>
      <c r="F127" s="4"/>
      <c r="G127" s="4"/>
      <c r="H127" s="4"/>
    </row>
    <row r="128" spans="4:9" x14ac:dyDescent="0.2">
      <c r="D128" s="4"/>
      <c r="E128" s="4"/>
      <c r="F128" s="4"/>
      <c r="G128" s="4"/>
      <c r="H128" s="4"/>
    </row>
    <row r="129" spans="4:8" x14ac:dyDescent="0.2">
      <c r="D129" s="4"/>
      <c r="E129" s="4"/>
      <c r="F129" s="4"/>
      <c r="G129" s="4"/>
      <c r="H129" s="4"/>
    </row>
    <row r="130" spans="4:8" x14ac:dyDescent="0.2">
      <c r="D130" s="4"/>
      <c r="E130" s="4"/>
      <c r="F130" s="4"/>
      <c r="G130" s="4"/>
      <c r="H130" s="4"/>
    </row>
    <row r="131" spans="4:8" x14ac:dyDescent="0.2">
      <c r="D131" s="4"/>
      <c r="E131" s="4"/>
      <c r="F131" s="4"/>
      <c r="G131" s="4"/>
      <c r="H131" s="4"/>
    </row>
    <row r="132" spans="4:8" x14ac:dyDescent="0.2">
      <c r="D132" s="4"/>
      <c r="E132" s="4"/>
      <c r="F132" s="4"/>
      <c r="G132" s="4"/>
      <c r="H132" s="4"/>
    </row>
    <row r="133" spans="4:8" x14ac:dyDescent="0.2">
      <c r="D133" s="4"/>
      <c r="E133" s="4"/>
      <c r="F133" s="4"/>
      <c r="G133" s="4"/>
      <c r="H133" s="4"/>
    </row>
    <row r="134" spans="4:8" x14ac:dyDescent="0.2">
      <c r="D134" s="4"/>
      <c r="E134" s="4"/>
      <c r="F134" s="4"/>
      <c r="G134" s="4"/>
      <c r="H134" s="4"/>
    </row>
    <row r="135" spans="4:8" x14ac:dyDescent="0.2">
      <c r="D135" s="4"/>
      <c r="E135" s="4"/>
      <c r="F135" s="4"/>
      <c r="G135" s="4"/>
      <c r="H135" s="4"/>
    </row>
    <row r="136" spans="4:8" x14ac:dyDescent="0.2">
      <c r="D136" s="4"/>
      <c r="E136" s="4"/>
      <c r="F136" s="4"/>
      <c r="G136" s="4"/>
      <c r="H136" s="4"/>
    </row>
    <row r="137" spans="4:8" x14ac:dyDescent="0.2">
      <c r="D137" s="4"/>
      <c r="E137" s="4"/>
      <c r="F137" s="4"/>
      <c r="G137" s="4"/>
      <c r="H137" s="4"/>
    </row>
    <row r="138" spans="4:8" x14ac:dyDescent="0.2">
      <c r="D138" s="4"/>
      <c r="E138" s="4"/>
      <c r="F138" s="4"/>
      <c r="G138" s="4"/>
      <c r="H138" s="4"/>
    </row>
    <row r="139" spans="4:8" x14ac:dyDescent="0.2">
      <c r="D139" s="4"/>
      <c r="E139" s="4"/>
      <c r="F139" s="4"/>
      <c r="G139" s="4"/>
      <c r="H139" s="4"/>
    </row>
    <row r="140" spans="4:8" x14ac:dyDescent="0.2">
      <c r="D140" s="4"/>
      <c r="E140" s="4"/>
      <c r="F140" s="4"/>
      <c r="G140" s="4"/>
      <c r="H140" s="4"/>
    </row>
    <row r="141" spans="4:8" x14ac:dyDescent="0.2">
      <c r="D141" s="4"/>
      <c r="E141" s="4"/>
      <c r="F141" s="4"/>
      <c r="G141" s="4"/>
      <c r="H141" s="4"/>
    </row>
    <row r="142" spans="4:8" x14ac:dyDescent="0.2">
      <c r="D142" s="4"/>
      <c r="E142" s="4"/>
      <c r="F142" s="4"/>
      <c r="G142" s="4"/>
      <c r="H142" s="4"/>
    </row>
    <row r="143" spans="4:8" x14ac:dyDescent="0.2">
      <c r="D143" s="4"/>
      <c r="E143" s="4"/>
      <c r="F143" s="4"/>
      <c r="G143" s="4"/>
      <c r="H143" s="4"/>
    </row>
    <row r="144" spans="4:8" x14ac:dyDescent="0.2">
      <c r="D144" s="4"/>
      <c r="E144" s="4"/>
      <c r="F144" s="4"/>
      <c r="G144" s="4"/>
      <c r="H144" s="4"/>
    </row>
    <row r="145" spans="4:8" x14ac:dyDescent="0.2">
      <c r="D145" s="4"/>
      <c r="E145" s="4"/>
      <c r="F145" s="4"/>
      <c r="G145" s="4"/>
      <c r="H145" s="4"/>
    </row>
    <row r="146" spans="4:8" x14ac:dyDescent="0.2">
      <c r="D146" s="4"/>
      <c r="E146" s="4"/>
      <c r="F146" s="4"/>
      <c r="G146" s="4"/>
      <c r="H146" s="4"/>
    </row>
    <row r="147" spans="4:8" x14ac:dyDescent="0.2">
      <c r="D147" s="4"/>
      <c r="E147" s="4"/>
      <c r="F147" s="4"/>
      <c r="G147" s="4"/>
      <c r="H147" s="4"/>
    </row>
    <row r="148" spans="4:8" x14ac:dyDescent="0.2">
      <c r="D148" s="4"/>
      <c r="E148" s="4"/>
      <c r="F148" s="4"/>
      <c r="G148" s="4"/>
      <c r="H148" s="4"/>
    </row>
    <row r="149" spans="4:8" x14ac:dyDescent="0.2">
      <c r="D149" s="4"/>
      <c r="E149" s="4"/>
      <c r="F149" s="4"/>
      <c r="G149" s="4"/>
      <c r="H149" s="4"/>
    </row>
    <row r="150" spans="4:8" x14ac:dyDescent="0.2">
      <c r="D150" s="4"/>
      <c r="E150" s="4"/>
      <c r="F150" s="4"/>
      <c r="G150" s="4"/>
      <c r="H150" s="4"/>
    </row>
    <row r="151" spans="4:8" x14ac:dyDescent="0.2">
      <c r="D151" s="4"/>
      <c r="E151" s="4"/>
      <c r="F151" s="4"/>
      <c r="G151" s="4"/>
      <c r="H151" s="4"/>
    </row>
    <row r="152" spans="4:8" x14ac:dyDescent="0.2">
      <c r="D152" s="4"/>
      <c r="E152" s="4"/>
      <c r="F152" s="4"/>
      <c r="G152" s="4"/>
      <c r="H152" s="4"/>
    </row>
    <row r="153" spans="4:8" x14ac:dyDescent="0.2">
      <c r="D153" s="4"/>
      <c r="E153" s="4"/>
      <c r="F153" s="4"/>
      <c r="G153" s="4"/>
      <c r="H153" s="4"/>
    </row>
    <row r="154" spans="4:8" x14ac:dyDescent="0.2">
      <c r="D154" s="4"/>
      <c r="E154" s="4"/>
      <c r="F154" s="4"/>
      <c r="G154" s="4"/>
      <c r="H154" s="4"/>
    </row>
    <row r="155" spans="4:8" x14ac:dyDescent="0.2">
      <c r="D155" s="4"/>
      <c r="E155" s="4"/>
      <c r="F155" s="4"/>
      <c r="G155" s="4"/>
      <c r="H155" s="4"/>
    </row>
    <row r="156" spans="4:8" x14ac:dyDescent="0.2">
      <c r="D156" s="4"/>
      <c r="E156" s="4"/>
      <c r="F156" s="4"/>
      <c r="G156" s="4"/>
      <c r="H156" s="4"/>
    </row>
    <row r="157" spans="4:8" x14ac:dyDescent="0.2">
      <c r="D157" s="4"/>
      <c r="E157" s="4"/>
      <c r="F157" s="4"/>
      <c r="G157" s="4"/>
      <c r="H157" s="4"/>
    </row>
    <row r="158" spans="4:8" x14ac:dyDescent="0.2">
      <c r="D158" s="4"/>
      <c r="E158" s="4"/>
      <c r="F158" s="4"/>
      <c r="G158" s="4"/>
      <c r="H158" s="4"/>
    </row>
    <row r="159" spans="4:8" x14ac:dyDescent="0.2">
      <c r="D159" s="4"/>
      <c r="E159" s="4"/>
      <c r="F159" s="4"/>
      <c r="G159" s="4"/>
      <c r="H159" s="4"/>
    </row>
    <row r="160" spans="4:8" x14ac:dyDescent="0.2">
      <c r="D160" s="4"/>
      <c r="E160" s="4"/>
      <c r="F160" s="4"/>
      <c r="G160" s="4"/>
      <c r="H160" s="4"/>
    </row>
    <row r="161" spans="4:8" x14ac:dyDescent="0.2">
      <c r="D161" s="4"/>
      <c r="E161" s="4"/>
      <c r="F161" s="4"/>
      <c r="G161" s="4"/>
      <c r="H161" s="4"/>
    </row>
    <row r="162" spans="4:8" x14ac:dyDescent="0.2">
      <c r="D162" s="4"/>
      <c r="E162" s="4"/>
      <c r="F162" s="4"/>
      <c r="G162" s="4"/>
      <c r="H162" s="4"/>
    </row>
    <row r="163" spans="4:8" x14ac:dyDescent="0.2">
      <c r="D163" s="4"/>
      <c r="E163" s="4"/>
      <c r="F163" s="4"/>
      <c r="G163" s="4"/>
      <c r="H163" s="4"/>
    </row>
    <row r="164" spans="4:8" x14ac:dyDescent="0.2">
      <c r="D164" s="4"/>
      <c r="E164" s="4"/>
      <c r="F164" s="4"/>
      <c r="G164" s="4"/>
      <c r="H164" s="4"/>
    </row>
    <row r="165" spans="4:8" x14ac:dyDescent="0.2">
      <c r="D165" s="4"/>
      <c r="E165" s="4"/>
      <c r="F165" s="4"/>
      <c r="G165" s="4"/>
      <c r="H165" s="4"/>
    </row>
    <row r="166" spans="4:8" x14ac:dyDescent="0.2">
      <c r="D166" s="4"/>
      <c r="E166" s="4"/>
      <c r="F166" s="4"/>
      <c r="G166" s="4"/>
      <c r="H166" s="4"/>
    </row>
    <row r="167" spans="4:8" x14ac:dyDescent="0.2">
      <c r="D167" s="4"/>
      <c r="E167" s="4"/>
      <c r="F167" s="4"/>
      <c r="G167" s="4"/>
      <c r="H167" s="4"/>
    </row>
    <row r="168" spans="4:8" x14ac:dyDescent="0.2">
      <c r="D168" s="4"/>
      <c r="E168" s="4"/>
      <c r="F168" s="4"/>
      <c r="G168" s="4"/>
      <c r="H168" s="4"/>
    </row>
    <row r="169" spans="4:8" x14ac:dyDescent="0.2">
      <c r="D169" s="4"/>
      <c r="E169" s="4"/>
      <c r="F169" s="4"/>
      <c r="G169" s="4"/>
      <c r="H169" s="4"/>
    </row>
    <row r="170" spans="4:8" x14ac:dyDescent="0.2">
      <c r="D170" s="4"/>
      <c r="E170" s="4"/>
      <c r="F170" s="4"/>
      <c r="G170" s="4"/>
      <c r="H170" s="4"/>
    </row>
    <row r="171" spans="4:8" x14ac:dyDescent="0.2">
      <c r="D171" s="4"/>
      <c r="E171" s="4"/>
      <c r="F171" s="4"/>
      <c r="G171" s="4"/>
      <c r="H171" s="4"/>
    </row>
    <row r="172" spans="4:8" x14ac:dyDescent="0.2">
      <c r="D172" s="4"/>
      <c r="E172" s="4"/>
      <c r="F172" s="4"/>
      <c r="G172" s="4"/>
      <c r="H172" s="4"/>
    </row>
    <row r="173" spans="4:8" x14ac:dyDescent="0.2">
      <c r="D173" s="4"/>
      <c r="E173" s="4"/>
      <c r="F173" s="4"/>
      <c r="G173" s="4"/>
      <c r="H173" s="4"/>
    </row>
    <row r="174" spans="4:8" x14ac:dyDescent="0.2">
      <c r="D174" s="4"/>
      <c r="E174" s="4"/>
      <c r="F174" s="4"/>
      <c r="G174" s="4"/>
      <c r="H174" s="4"/>
    </row>
    <row r="175" spans="4:8" x14ac:dyDescent="0.2">
      <c r="D175" s="4"/>
      <c r="E175" s="4"/>
      <c r="F175" s="4"/>
      <c r="G175" s="4"/>
      <c r="H175" s="4"/>
    </row>
    <row r="176" spans="4:8" x14ac:dyDescent="0.2">
      <c r="D176" s="4"/>
      <c r="E176" s="4"/>
      <c r="F176" s="4"/>
      <c r="G176" s="4"/>
      <c r="H176" s="4"/>
    </row>
    <row r="177" spans="4:8" x14ac:dyDescent="0.2">
      <c r="D177" s="4"/>
      <c r="E177" s="4"/>
      <c r="F177" s="4"/>
      <c r="G177" s="4"/>
      <c r="H177" s="4"/>
    </row>
    <row r="178" spans="4:8" x14ac:dyDescent="0.2">
      <c r="D178" s="4"/>
      <c r="E178" s="4"/>
      <c r="F178" s="4"/>
      <c r="G178" s="4"/>
      <c r="H178" s="4"/>
    </row>
    <row r="179" spans="4:8" x14ac:dyDescent="0.2">
      <c r="D179" s="4"/>
      <c r="E179" s="4"/>
      <c r="F179" s="4"/>
      <c r="G179" s="4"/>
      <c r="H179" s="4"/>
    </row>
    <row r="180" spans="4:8" x14ac:dyDescent="0.2">
      <c r="D180" s="4"/>
      <c r="E180" s="4"/>
      <c r="F180" s="4"/>
      <c r="G180" s="4"/>
      <c r="H180" s="4"/>
    </row>
    <row r="181" spans="4:8" x14ac:dyDescent="0.2">
      <c r="D181" s="4"/>
      <c r="E181" s="4"/>
      <c r="F181" s="4"/>
      <c r="G181" s="4"/>
      <c r="H181" s="4"/>
    </row>
    <row r="182" spans="4:8" x14ac:dyDescent="0.2">
      <c r="D182" s="4"/>
      <c r="E182" s="4"/>
      <c r="F182" s="4"/>
      <c r="G182" s="4"/>
      <c r="H182" s="4"/>
    </row>
    <row r="183" spans="4:8" x14ac:dyDescent="0.2">
      <c r="D183" s="4"/>
      <c r="E183" s="4"/>
      <c r="F183" s="4"/>
      <c r="G183" s="4"/>
      <c r="H183" s="4"/>
    </row>
    <row r="184" spans="4:8" x14ac:dyDescent="0.2">
      <c r="D184" s="4"/>
      <c r="E184" s="4"/>
      <c r="F184" s="4"/>
      <c r="G184" s="4"/>
      <c r="H184" s="4"/>
    </row>
    <row r="185" spans="4:8" x14ac:dyDescent="0.2">
      <c r="D185" s="4"/>
      <c r="E185" s="4"/>
      <c r="F185" s="4"/>
      <c r="G185" s="4"/>
      <c r="H185" s="4"/>
    </row>
    <row r="186" spans="4:8" x14ac:dyDescent="0.2">
      <c r="D186" s="4"/>
      <c r="E186" s="4"/>
      <c r="F186" s="4"/>
      <c r="G186" s="4"/>
      <c r="H186" s="4"/>
    </row>
    <row r="187" spans="4:8" x14ac:dyDescent="0.2">
      <c r="D187" s="4"/>
      <c r="E187" s="4"/>
      <c r="F187" s="4"/>
      <c r="G187" s="4"/>
      <c r="H187" s="4"/>
    </row>
  </sheetData>
  <mergeCells count="7">
    <mergeCell ref="P9:AA9"/>
    <mergeCell ref="A55:C55"/>
    <mergeCell ref="D9:O9"/>
    <mergeCell ref="A11:C11"/>
    <mergeCell ref="A21:C21"/>
    <mergeCell ref="A41:C41"/>
    <mergeCell ref="A49:C49"/>
  </mergeCells>
  <phoneticPr fontId="12" type="noConversion"/>
  <conditionalFormatting sqref="D59:AA59">
    <cfRule type="cellIs" dxfId="0" priority="1" operator="lessThan">
      <formula>$C$61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 for Use</vt:lpstr>
      <vt:lpstr>Video Instructions</vt:lpstr>
      <vt:lpstr>Cash Rhythms</vt:lpstr>
      <vt:lpstr>Cash Flow Forecast </vt:lpstr>
      <vt:lpstr>Sheet1</vt:lpstr>
      <vt:lpstr>Marketing</vt:lpstr>
      <vt:lpstr>IT</vt:lpstr>
      <vt:lpstr>2025 Donors</vt:lpstr>
      <vt:lpstr>Cash Flow Forecast - Personal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Sue Squires</cp:lastModifiedBy>
  <cp:revision/>
  <dcterms:created xsi:type="dcterms:W3CDTF">2018-06-21T17:37:49Z</dcterms:created>
  <dcterms:modified xsi:type="dcterms:W3CDTF">2025-10-25T20:42:02Z</dcterms:modified>
  <cp:category/>
  <cp:contentStatus/>
</cp:coreProperties>
</file>